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Paramètres" sheetId="2" state="visible" r:id="rId4"/>
    <sheet name="Import" sheetId="3" state="visible" r:id="rId5"/>
    <sheet name="Tarifs Onsha-Sullab" sheetId="4" state="visible" r:id="rId6"/>
    <sheet name="Tarifs Shift" sheetId="5" state="visible" r:id="rId7"/>
    <sheet name="Autres fournisseurs" sheetId="6" state="visible" r:id="rId8"/>
    <sheet name="Marges produits" sheetId="7" state="visible" r:id="rId9"/>
    <sheet name="Simulateur commande" sheetId="8" state="visible" r:id="rId10"/>
    <sheet name="Seuil de rentabilité" sheetId="9" state="visible" r:id="rId11"/>
    <sheet name="Coffrets Onsha"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<sst xmlns="http://schemas.openxmlformats.org/spreadsheetml/2006/main" count="434" uniqueCount="386">
  <si>
    <t xml:space="preserve">Sunsoari · Tableau de marges et de gestion</t>
  </si>
  <si>
    <t xml:space="preserve">Version du 11/10/2026 · prix de vente repris de Shopify le 11/10/2026 · tarifs Onsha/Sullab : fiche FOB USD Sullab Co., Ltd.</t>
  </si>
  <si>
    <t xml:space="preserve">Documents utilisés : grille FOB Sullab/Onsha, pro forma Sullab du 08/05/2026, packing list SUL-0123, grille et commande SHIFT (260528), facture CNR Cosmetics C-2026-0915 et reçu de paiement 0019. Non utilisés : le reçu Sendwave (virement personnel, sans lien avec un achat de stock) et le dépôt INPI (310 €, dépense ponctuelle à passer en charges, pas dans le coût des produits).</t>
  </si>
  <si>
    <t xml:space="preserve">CODE COULEUR</t>
  </si>
  <si>
    <t xml:space="preserve">Texte bleu = chiffre que tu peux modifier.  Fond jaune = à remplir ou à vérifier en priorité.  Texte noir = calcul automatique (ne pas toucher).  Texte vert = repris d'un autre onglet.</t>
  </si>
  <si>
    <t xml:space="preserve">DANS QUEL ORDRE REMPLIR</t>
  </si>
  <si>
    <t xml:space="preserve">1. Paramètres : ton statut TVA, le taux du dollar, tes frais Shopify, ta livraison, ton emballage, tes cotisations.</t>
  </si>
  <si>
    <t xml:space="preserve">2. Import : les vrais (ajoute « UE » en origine pour un fournisseur européen)  frais de ta dernière commande fournisseur (fret, transitaire, banque). Ça calcule ton « coefficient d'approche » = combien te coûte vraiment 1 € de marchandise une fois arrivée chez toi.</t>
  </si>
  <si>
    <t xml:space="preserve">3. Tarifs Shift : à compléter avec ta fiche Shift (cases jaunes).</t>
  </si>
  <si>
    <t xml:space="preserve">4. Marges produits : prix de vente, coût de revient, marge par produit et marge si la cliente n'achète que ce produit.</t>
  </si>
  <si>
    <t xml:space="preserve">5. Simulateur commande : compose un panier et vois ce qu'il te reste vraiment.</t>
  </si>
  <si>
    <t xml:space="preserve">6. Seuil de rentabilité : combien de commandes par mois pour couvrir tes frais fixes.</t>
  </si>
  <si>
    <t xml:space="preserve">À SAVOIR</t>
  </si>
  <si>
    <t xml:space="preserve">• FOB = le prix du fournisseur s'arrête au port coréen. Le transport international, l'assurance, le dédouanement, les droits et la TVA à l'import sont à ta charge : c'est pour ça que le coût réel est plus élevé que le prix de la fiche.</t>
  </si>
  <si>
    <t xml:space="preserve">• Droits de douane : l'accord de libre-échange UE-Corée permet 0 % de droits si le fournisseur fournit une déclaration d'origine sur la facture. Sans elle, compte en général entre 1,7 % et 6,5 % selon le code douanier. À faire confirmer par ton transitaire ou ton transporteur.</t>
  </si>
  <si>
    <t xml:space="preserve">• TVA : Sunsoari est une SAS assujettie à la TVA. Tu récupères la TVA de tes achats (marchandise, TVA à l'import, emballages, abonnements) et ton vrai chiffre d'affaires est le prix TTC divisé par 1,2. Pour info, en franchise de TVA (micro-entreprise sous le seuil), tu ne factures pas de TVA mais tu ne récupères pas non plus la TVA payée à l'import : elle devient un coût. Si tu factures la TVA, tu la récupères, mais ton chiffre d'affaires réel est le prix TTC divisé par 1,2.</t>
  </si>
  <si>
    <t xml:space="preserve">• IMPORTANT pour récupérer la TVA à l'import : la marchandise doit être dédouanée au nom de la SAS Sunsoari (avec son numéro EORI), pas à ton nom personnel. Sur la pro forma Sullab du 08/05/2026, la case « Bien personnel » semble aussi cochée et la destinataire est une personne : demande que seule la case « Achat neuf » soit cochée et que la destinataire soit Sunsoari SAS. Sinon, la TVA payée à l'import ne sera peut-être pas récupérable, et le tableau doit alors utiliser le coefficient « TVA import comprise ».</t>
  </si>
  <si>
    <t xml:space="preserve">• La correspondance entre produits Shopify et références fournisseur est marquée « à confirmer » quand je l'ai déduite des photos ou des descriptions. Vérifie-la une fois avec tes factures.</t>
  </si>
  <si>
    <t xml:space="preserve">• Les taux (frais Shopify, cotisations URSSAF, taux de change) changent : vérifie-les dans ton admin Shopify et sur autoentrepreneur.urssaf.fr. Ce tableau ne remplace pas l'avis de ton expert-comptable.</t>
  </si>
  <si>
    <t xml:space="preserve">Paramètres généraux</t>
  </si>
  <si>
    <t xml:space="preserve">Paramètre</t>
  </si>
  <si>
    <t xml:space="preserve">Valeur</t>
  </si>
  <si>
    <t xml:space="preserve">Explication / source</t>
  </si>
  <si>
    <t xml:space="preserve">Statut TVA</t>
  </si>
  <si>
    <t xml:space="preserve">Assujettie</t>
  </si>
  <si>
    <t xml:space="preserve">SAS assujettie à la TVA (ce que tu m'as indiqué) : tu factures la TVA et tu récupères celle de tes achats. « Franchise » seulement si tu n'es pas assujettie.</t>
  </si>
  <si>
    <t xml:space="preserve">Taux de TVA</t>
  </si>
  <si>
    <t xml:space="preserve">Taux normal en France.</t>
  </si>
  <si>
    <t xml:space="preserve">Taux de change : 1 USD = … €</t>
  </si>
  <si>
    <t xml:space="preserve">Indicatif. Mets le taux réellement appliqué par ta banque le jour du paiement (relevé bancaire).</t>
  </si>
  <si>
    <t xml:space="preserve">Taux de change : 1 KRW = … €</t>
  </si>
  <si>
    <t xml:space="preserve">Indicatif, utile si un fournisseur facture en wons. À mettre à jour.</t>
  </si>
  <si>
    <t xml:space="preserve">Palier de prix Onsha/Sullab utilisé</t>
  </si>
  <si>
    <t xml:space="preserve">Carton</t>
  </si>
  <si>
    <t xml:space="preserve">« Carton » = prix au carton (petites quantités). « MOQ » = prix à partir d'environ 1 000 pièces par référence.</t>
  </si>
  <si>
    <t xml:space="preserve">Droits de douane par défaut (achats hors UE)</t>
  </si>
  <si>
    <t xml:space="preserve">0 % avec l'accord UE-Corée si une déclaration d'origine figure sur la facture. Sinon souvent entre 1,7 % et 6,5 % selon le code douanier (à confirmer par ton transitaire). Pas de droits de douane pour un fournisseur situé dans l'UE.</t>
  </si>
  <si>
    <t xml:space="preserve">Frais de paiement Shopify (%)</t>
  </si>
  <si>
    <t xml:space="preserve">Exemple : Shopify Payments, forfait Basic, carte européenne. Vérifie dans Shopify &gt; Paramètres &gt; Paiements (PayPal, Klarna et cartes hors UE coûtent plus cher).</t>
  </si>
  <si>
    <t xml:space="preserve">Frais de paiement Shopify (fixe par commande)</t>
  </si>
  <si>
    <t xml:space="preserve">Même source que ci-dessus.</t>
  </si>
  <si>
    <t xml:space="preserve">Charges proportionnelles au CA</t>
  </si>
  <si>
    <t xml:space="preserve">0 % pour une SAS : pas de cotisations calculées sur le chiffre d'affaires (contrairement à la micro-entreprise). L'impôt sur les sociétés se calcule sur le bénéfice annuel, voir ton expert-comptable.</t>
  </si>
  <si>
    <t xml:space="preserve">Ce que TU paies au transporteur par colis (TTC)</t>
  </si>
  <si>
    <t xml:space="preserve">Coût moyen réel d'une étiquette Mondial Relay / Colissimo pour un colis de moins de 1 kg. Exemple : remplace-le par le montant de tes factures transporteur.</t>
  </si>
  <si>
    <t xml:space="preserve">Livraison payée par la cliente (TTC)</t>
  </si>
  <si>
    <t xml:space="preserve">Repris de tes tarifs Shopify : Mondial Relay 5,90 € (&lt; 1 kg, depuis le 14/10/2026), Colissimo 7,90 € ou 9,90 €. 5,90 € = le cas le plus courant.</t>
  </si>
  <si>
    <t xml:space="preserve">Livraison offerte à partir de (TTC)</t>
  </si>
  <si>
    <t xml:space="preserve">France : livraison offerte dès 80 €, non cumulable avec les remises (sauf code exceptionnel). Dès 100 € après remise dans tous les cas.</t>
  </si>
  <si>
    <t xml:space="preserve">Emballage : prix d'un lot de cartons (TTC)</t>
  </si>
  <si>
    <t xml:space="preserve">D'après toi : environ 50 à 60 € le lot.</t>
  </si>
  <si>
    <t xml:space="preserve">Emballage : nombre de cartons dans le lot</t>
  </si>
  <si>
    <t xml:space="preserve">D'après toi : une quarantaine.</t>
  </si>
  <si>
    <t xml:space="preserve">Papier de soie : prix d'un paquet (TTC)</t>
  </si>
  <si>
    <t xml:space="preserve">D'après toi.</t>
  </si>
  <si>
    <t xml:space="preserve">Papier de soie : nombre de colis faits avec un paquet</t>
  </si>
  <si>
    <t xml:space="preserve">Estimation à ajuster : combien de colis tu emballes avec un paquet.</t>
  </si>
  <si>
    <t xml:space="preserve">Emballage : scotch, étiquette, carte (par colis, TTC)</t>
  </si>
  <si>
    <t xml:space="preserve">Estimation.</t>
  </si>
  <si>
    <t xml:space="preserve">→ Emballage par colis (TTC)</t>
  </si>
  <si>
    <t xml:space="preserve">Ton estimation réelle (14/10/2026). Le détail ci-dessus sert de repère.</t>
  </si>
  <si>
    <t xml:space="preserve">Petit cadeau / échantillon par colis (TTC)</t>
  </si>
  <si>
    <t xml:space="preserve">D'après toi : entre 1 et 5 €. 3 € = moyenne. Mets 0 si tu arrêtes, ou réserve-le aux commandes au-dessus d'un certain montant.</t>
  </si>
  <si>
    <t xml:space="preserve">Coût publicitaire moyen par commande</t>
  </si>
  <si>
    <t xml:space="preserve">0 tant que tu ne fais pas de pub. Ensuite : budget pub du mois ÷ nombre de commandes du mois.</t>
  </si>
  <si>
    <t xml:space="preserve">Coefficient multiplicateur visé</t>
  </si>
  <si>
    <t xml:space="preserve">Prix de vente TTC ÷ coût de revient. Repère courant en beauté : entre 2,5 et 3,5. Sert à calculer un prix plancher.</t>
  </si>
  <si>
    <t xml:space="preserve">Marge minimum acceptable (% du CA)</t>
  </si>
  <si>
    <t xml:space="preserve">En dessous, le produit est signalé « marge faible ».</t>
  </si>
  <si>
    <t xml:space="preserve">Les frais sont saisis TTC (ce que tu paies). Comme tu récupères la TVA, le tableau les compte automatiquement hors TVA.</t>
  </si>
  <si>
    <t xml:space="preserve">Coût réel d'une commande fournisseur (coefficient d'approche)</t>
  </si>
  <si>
    <t xml:space="preserve">Remplace les valeurs d'exemple (jaunes) par celles de ta dernière facture fournisseur et de ta facture transporteur/transitaire.</t>
  </si>
  <si>
    <t xml:space="preserve">Ligne</t>
  </si>
  <si>
    <t xml:space="preserve">Onsha / Sullab</t>
  </si>
  <si>
    <t xml:space="preserve">Shift</t>
  </si>
  <si>
    <t xml:space="preserve">CNR Cosmetics</t>
  </si>
  <si>
    <t xml:space="preserve">Explication</t>
  </si>
  <si>
    <t xml:space="preserve">Valeur de la marchandise (devise du fournisseur)</t>
  </si>
  <si>
    <t xml:space="preserve">Sullab : facture commerciale SUL-0413 du 13/04/2026 (3 329 $, 492 pièces, 7 cartons, 85 kg). Shift : bon de commande (2 285 $). CNR : facture C-2026-0915 (435 €).</t>
  </si>
  <si>
    <t xml:space="preserve">Devise de la facture</t>
  </si>
  <si>
    <t xml:space="preserve">USD</t>
  </si>
  <si>
    <t xml:space="preserve">EUR</t>
  </si>
  <si>
    <t xml:space="preserve">USD, EUR ou KRW.</t>
  </si>
  <si>
    <t xml:space="preserve">Origine du fournisseur</t>
  </si>
  <si>
    <t xml:space="preserve">Hors UE</t>
  </si>
  <si>
    <t xml:space="preserve">« Hors UE » (Corée…) ou « UE ». Un fournisseur de l'UE : pas de droits de douane ni de TVA à l'import (TVA autoliquidée).</t>
  </si>
  <si>
    <t xml:space="preserve">Taux de change appliqué</t>
  </si>
  <si>
    <t xml:space="preserve">Repris des Paramètres.</t>
  </si>
  <si>
    <t xml:space="preserve">Valeur de la marchandise en €</t>
  </si>
  <si>
    <t xml:space="preserve">Fret international (€)</t>
  </si>
  <si>
    <t xml:space="preserve">Sullab : RÉEL, 773,61 $ facturés sur SUL-0413 (reçu EMS de La Poste coréenne : 1 149 350 KRW pour 7 colis), soit 23 % de la marchandise. Shift : estimation à remplacer. CNR : 150 € facturés − 129,5 € pris en charge = 20,5 € (réel).</t>
  </si>
  <si>
    <t xml:space="preserve">Assurance transport (€)</t>
  </si>
  <si>
    <t xml:space="preserve">Souvent incluse ou optionnelle.</t>
  </si>
  <si>
    <t xml:space="preserve">Frais de dédouanement / transitaire (€)</t>
  </si>
  <si>
    <t xml:space="preserve">Frais de dossier facturés par La Poste, DHL ou le transitaire à la livraison. Estimations à remplacer. Montants hors TVA.</t>
  </si>
  <si>
    <t xml:space="preserve">Frais bancaires du virement international (€)</t>
  </si>
  <si>
    <t xml:space="preserve">Sullab : paiement en 2 fois (50/50), donc 2 virements. Shift et CNR : 1 virement (100 % avant expédition). Estimations : regarde tes relevés bancaires.</t>
  </si>
  <si>
    <t xml:space="preserve">Taux de droits de douane</t>
  </si>
  <si>
    <t xml:space="preserve">Repris des Paramètres. Sullab déclare une origine préférentielle Corée sur sa packing list, donc 0 % avec l'accord UE-Corée. Pour CNR et Shift, demande la même mention sur la facture.</t>
  </si>
  <si>
    <t xml:space="preserve">Droits de douane (€)</t>
  </si>
  <si>
    <t xml:space="preserve">Calculés sur marchandise + fret + assurance.</t>
  </si>
  <si>
    <t xml:space="preserve">TVA à l'import (€)</t>
  </si>
  <si>
    <t xml:space="preserve">20 % sur (marchandise + fret + assurance + droits). Récupérable si l'import est fait au nom de la SAS (voir Mode d'emploi).</t>
  </si>
  <si>
    <t xml:space="preserve">Total payé pour cette commande (€)</t>
  </si>
  <si>
    <t xml:space="preserve">Coefficient d'approche hors TVA</t>
  </si>
  <si>
    <t xml:space="preserve">Coût arrivé ÷ valeur de la marchandise, sans la TVA import.</t>
  </si>
  <si>
    <t xml:space="preserve">Coefficient d'approche TVA import comprise</t>
  </si>
  <si>
    <t xml:space="preserve">Idem en comptant la TVA import comme un coût.</t>
  </si>
  <si>
    <t xml:space="preserve">COEFFICIENT RETENU</t>
  </si>
  <si>
    <t xml:space="preserve">Selon ton statut TVA. Il est appliqué à tous les prix de l'onglet de ce fournisseur.</t>
  </si>
  <si>
    <t xml:space="preserve">Tarifs Sullab Co., Ltd. (Onsha / Sullab) · FOB Corée, en USD</t>
  </si>
  <si>
    <t xml:space="preserve">Sources : fiche « Onsha FOB Price USD » (Sullab Co., Ltd.), pro forma du 08/05/2026 (564 $), packing list SUL-0123 du 23/01/2026 (5 cartons, 33,5 kg, envoi par avion, origine préférentielle Corée). Paiement 50 % T/T à la commande, solde après expédition. Carton 55 × 34 × 19 cm, 60 cartons max par palette.</t>
  </si>
  <si>
    <t xml:space="preserve">Réf.</t>
  </si>
  <si>
    <t xml:space="preserve">Produit (fiche fournisseur)</t>
  </si>
  <si>
    <t xml:space="preserve">Correspondance Sunsoari</t>
  </si>
  <si>
    <t xml:space="preserve">Prix unitaire au carton (USD)</t>
  </si>
  <si>
    <t xml:space="preserve">Prix d'un carton (USD)</t>
  </si>
  <si>
    <t xml:space="preserve">Pièces par carton</t>
  </si>
  <si>
    <t xml:space="preserve">Prix unitaire MOQ (USD)</t>
  </si>
  <si>
    <t xml:space="preserve">Quantité MOQ (pcs)</t>
  </si>
  <si>
    <t xml:space="preserve">Total MOQ (USD)</t>
  </si>
  <si>
    <t xml:space="preserve">Prix public Corée (USD)</t>
  </si>
  <si>
    <t xml:space="preserve">Poids carton (kg)</t>
  </si>
  <si>
    <t xml:space="preserve">Remarques</t>
  </si>
  <si>
    <t xml:space="preserve">Prix retenu (USD)</t>
  </si>
  <si>
    <t xml:space="preserve">Coût d'achat (€)</t>
  </si>
  <si>
    <t xml:space="preserve">Coût de revient rendu (€)</t>
  </si>
  <si>
    <t xml:space="preserve">Shower Head</t>
  </si>
  <si>
    <t xml:space="preserve">Douchette filtrante Onsha (« Shower Head (Travel) » sur la pro forma du 08/05/2026)</t>
  </si>
  <si>
    <t xml:space="preserve">Shower Head Cover</t>
  </si>
  <si>
    <t xml:space="preserve">Housse personnalisable pour douchette</t>
  </si>
  <si>
    <t xml:space="preserve">Shower Head Filter</t>
  </si>
  <si>
    <t xml:space="preserve">Filtres sédiment x3 (recharges douchette)</t>
  </si>
  <si>
    <t xml:space="preserve">1 paquet = 3 filtres</t>
  </si>
  <si>
    <t xml:space="preserve">PVC Shower Tube 1.5 M</t>
  </si>
  <si>
    <t xml:space="preserve">Non vendu actuellement (flexible 1,5 m)</t>
  </si>
  <si>
    <t xml:space="preserve">Blanc, noir, gris, bleu, violet, rose</t>
  </si>
  <si>
    <t xml:space="preserve">PVC Shower Tube 2.0 M</t>
  </si>
  <si>
    <t xml:space="preserve">Non vendu actuellement (flexible 2 m)</t>
  </si>
  <si>
    <t xml:space="preserve">Hot-Spring Filter Set (Mini)</t>
  </si>
  <si>
    <t xml:space="preserve">Set Découverte Nomade (coque + 4 capsules)</t>
  </si>
  <si>
    <t xml:space="preserve">Hot-Spring Refill Filter: Wood</t>
  </si>
  <si>
    <t xml:space="preserve">Capsule thermale Nomade · Hinoki</t>
  </si>
  <si>
    <t xml:space="preserve">Hot-Spring Refill Filter: Ocean</t>
  </si>
  <si>
    <t xml:space="preserve">Capsule thermale Nomade · Océan</t>
  </si>
  <si>
    <t xml:space="preserve">Hot-Spring Refill Filter: Pine Tree</t>
  </si>
  <si>
    <t xml:space="preserve">Capsule thermale Nomade · Forêt de Pin</t>
  </si>
  <si>
    <t xml:space="preserve">Hot-Spring Refill Filter: Flower</t>
  </si>
  <si>
    <t xml:space="preserve">Capsule thermale Nomade · Fleur de Prunier</t>
  </si>
  <si>
    <t xml:space="preserve">Hot-Spring Filter case (Mini)</t>
  </si>
  <si>
    <t xml:space="preserve">Coque de diffusion Nomade</t>
  </si>
  <si>
    <t xml:space="preserve">Compact Shower Head</t>
  </si>
  <si>
    <t xml:space="preserve">Pommeau de douche filtrant Onsha (pro forma du 08/05/2026 : 70 pcs à 6,20 $)</t>
  </si>
  <si>
    <t xml:space="preserve">Hot-Spring Filter Set (Home)</t>
  </si>
  <si>
    <t xml:space="preserve">Set Découverte Home (coque + 4 filtres)</t>
  </si>
  <si>
    <t xml:space="preserve">Hot-Spring Refill Filter: Wood (Home)</t>
  </si>
  <si>
    <t xml:space="preserve">Filtre thermal Home · Hinoki</t>
  </si>
  <si>
    <t xml:space="preserve">Hot-Spring Refill Filter: Ocean (Home)</t>
  </si>
  <si>
    <t xml:space="preserve">Filtre thermal Home · Océan</t>
  </si>
  <si>
    <t xml:space="preserve">Hot-Spring Refill Filter: Pine Tree (Home)</t>
  </si>
  <si>
    <t xml:space="preserve">Filtre thermal Home · Forêt de Pin</t>
  </si>
  <si>
    <t xml:space="preserve">Hot-Spring Refill Filter: Flower (Home)</t>
  </si>
  <si>
    <t xml:space="preserve">Filtre thermal Home · Fleur de Prunier</t>
  </si>
  <si>
    <t xml:space="preserve">Hot-Spring Filter case (HOME)</t>
  </si>
  <si>
    <t xml:space="preserve">Coque de diffusion Home (« Filter Case (Home) » sur la packing list)</t>
  </si>
  <si>
    <t xml:space="preserve">Faucet Filter with case (HOME)</t>
  </si>
  <si>
    <t xml:space="preserve">Sullab · Filtre robinet lavabo</t>
  </si>
  <si>
    <t xml:space="preserve">6 adaptateurs et outil inclus</t>
  </si>
  <si>
    <t xml:space="preserve">Hot-Spring Filter case (HOME) · paquet de 3</t>
  </si>
  <si>
    <t xml:space="preserve">Sullab · Lot 3 sédiments robinet (« Faucet Filter Refill (Home) » sur la packing list)</t>
  </si>
  <si>
    <t xml:space="preserve">Tarifs SHIFT (Heraldsilver Inc.) · FOB Corée (Incheon), en USD</t>
  </si>
  <si>
    <t xml:space="preserve">Source : « SHIFT wholesale price Order Sheet 260528 ». Paiement 100 % avant expédition. Ta commande sur cette fiche : 230 pièces pour 2 285 $.</t>
  </si>
  <si>
    <t xml:space="preserve">Utilisé dans (Sunsoari)</t>
  </si>
  <si>
    <t xml:space="preserve">Prix fournisseur</t>
  </si>
  <si>
    <t xml:space="preserve">Devise</t>
  </si>
  <si>
    <t xml:space="preserve">Prix public Corée (KRW)</t>
  </si>
  <si>
    <t xml:space="preserve">Code douanier</t>
  </si>
  <si>
    <t xml:space="preserve">Ta commande (pcs)</t>
  </si>
  <si>
    <t xml:space="preserve">Taux de change</t>
  </si>
  <si>
    <t xml:space="preserve">S1</t>
  </si>
  <si>
    <t xml:space="preserve">Capsule Shower Head (+ 1 filtre sédiment)</t>
  </si>
  <si>
    <t xml:space="preserve">Coffret Soin (avec 1 capsule)</t>
  </si>
  <si>
    <t xml:space="preserve">8421.21 / 3924.90</t>
  </si>
  <si>
    <t xml:space="preserve">S2</t>
  </si>
  <si>
    <t xml:space="preserve">Capsule Shower Trial Kit (pommeau + 1 filtre + 3 capsules)</t>
  </si>
  <si>
    <t xml:space="preserve">Non relié pour l'instant (voir remarque)</t>
  </si>
  <si>
    <t xml:space="preserve">8421.21</t>
  </si>
  <si>
    <t xml:space="preserve">S3</t>
  </si>
  <si>
    <t xml:space="preserve">Aroma Therapy Shower Kit (pommeau + 3 filtres + flexible 2 m + 6 capsules)</t>
  </si>
  <si>
    <t xml:space="preserve">Coffret Douche &amp; Aromathérapie</t>
  </si>
  <si>
    <t xml:space="preserve">non indiqué</t>
  </si>
  <si>
    <t xml:space="preserve">S4</t>
  </si>
  <si>
    <t xml:space="preserve">Aroma Capsule, boîte de 6</t>
  </si>
  <si>
    <t xml:space="preserve">Pack 6 capsules, coffrets</t>
  </si>
  <si>
    <t xml:space="preserve">3307.30</t>
  </si>
  <si>
    <t xml:space="preserve">S5</t>
  </si>
  <si>
    <t xml:space="preserve">Vitamin Capsule Shower filter (sédiment), boîte de 3</t>
  </si>
  <si>
    <t xml:space="preserve">Pack 3 filtres</t>
  </si>
  <si>
    <t xml:space="preserve">8421.99</t>
  </si>
  <si>
    <t xml:space="preserve">S6</t>
  </si>
  <si>
    <t xml:space="preserve">Silicone Self-draining shower hose 1,5 m ou 2 m</t>
  </si>
  <si>
    <t xml:space="preserve">Non vendu seul pour l'instant</t>
  </si>
  <si>
    <t xml:space="preserve">Remarque : sur ta commande, tu as pris 70 Trial Kits (blanc 30, noir 20, rose 10, vert 10) et aucun Aroma Kit complet. Si ton « Coffret Douche &amp; Aromathérapie » est composé à partir des Trial Kits, dis-le-moi et je change la composition.</t>
  </si>
  <si>
    <t xml:space="preserve">Une note de 11,44 apparaît à côté des flexibles sur la fiche : s'il s'agit d'un prix négocié, remplace 13 par 11,44.</t>
  </si>
  <si>
    <t xml:space="preserve">Capsules (code 3307.30) : ce sont des préparations pour le bain, donc des produits cosmétiques. La colonne CPNP de la fiche est vide pour elles : demande à SHIFT le numéro de notification CPNP et qui est la personne responsable dans l'UE.</t>
  </si>
  <si>
    <t xml:space="preserve">CNR Cosmetics Co., Ltd. · facture C-2026-0915 du 15/09/2026 · prix en EUR, DAP</t>
  </si>
  <si>
    <t xml:space="preserve">DAP = livraison payée jusque chez toi par le fournisseur, mais droits et TVA à l'import restent à ta charge. Payé 500 $ (facture n° 0019 du 16/09/2026). Produits pas encore sur Shopify.</t>
  </si>
  <si>
    <t xml:space="preserve">Produit</t>
  </si>
  <si>
    <t xml:space="preserve">Quantité</t>
  </si>
  <si>
    <t xml:space="preserve">Prix unitaire (€)</t>
  </si>
  <si>
    <t xml:space="preserve">Montant (€)</t>
  </si>
  <si>
    <t xml:space="preserve">Coût de revient rendu unitaire (€)</t>
  </si>
  <si>
    <t xml:space="preserve">Prix de vente TTC prévu (€)</t>
  </si>
  <si>
    <t xml:space="preserve">Coefficient</t>
  </si>
  <si>
    <t xml:space="preserve">Remarque</t>
  </si>
  <si>
    <t xml:space="preserve">104 Multi Boosting Serum</t>
  </si>
  <si>
    <t xml:space="preserve">104 Multi Boosting Serum Refill</t>
  </si>
  <si>
    <t xml:space="preserve">Nonstick Sunstick</t>
  </si>
  <si>
    <t xml:space="preserve">MOJU Sensitive C Cleanser</t>
  </si>
  <si>
    <t xml:space="preserve">MOJU Mask Pack</t>
  </si>
  <si>
    <t xml:space="preserve">Mini format : idéal en cadeau ou échantillon.</t>
  </si>
  <si>
    <t xml:space="preserve">104 One Cream Travel Size</t>
  </si>
  <si>
    <t xml:space="preserve">104 Multi Boosting Serum Travel Size</t>
  </si>
  <si>
    <t xml:space="preserve">Total marchandise</t>
  </si>
  <si>
    <t xml:space="preserve">Transport facturé 150 € − prise en charge THE C 129,5 €</t>
  </si>
  <si>
    <t xml:space="preserve">Total facture</t>
  </si>
  <si>
    <t xml:space="preserve">⚠ Cosmétiques : avant de les vendre, il faut une personne responsable établie dans l'UE, une notification CPNP, un étiquetage en français et un dossier information produit (DIP). Si personne d'autre ne l'assure, c'est Sunsoari, en tant qu'importateur, qui en a la charge. Vérifie ce point avec CNR avant la mise en vente.</t>
  </si>
  <si>
    <t xml:space="preserve">Marge par produit Sunsoari</t>
  </si>
  <si>
    <t xml:space="preserve">Prix de vente repris de Shopify le 11/10/2026 (modifiables en bleu). La colonne « Composition » explique quelles références fournisseur forment chaque produit.</t>
  </si>
  <si>
    <t xml:space="preserve">Marque</t>
  </si>
  <si>
    <t xml:space="preserve">Produit Shopify</t>
  </si>
  <si>
    <t xml:space="preserve">SKU</t>
  </si>
  <si>
    <t xml:space="preserve">Composition (réf. fournisseur)</t>
  </si>
  <si>
    <t xml:space="preserve">Prix de vente TTC (€)</t>
  </si>
  <si>
    <t xml:space="preserve">Coût d'achat fournisseur (€)</t>
  </si>
  <si>
    <t xml:space="preserve">CA encaissé (€)</t>
  </si>
  <si>
    <t xml:space="preserve">Frais de paiement % (€)</t>
  </si>
  <si>
    <t xml:space="preserve">Cotisations (€)</t>
  </si>
  <si>
    <t xml:space="preserve">Marge produit (€)</t>
  </si>
  <si>
    <t xml:space="preserve">Taux de marge (% du CA)</t>
  </si>
  <si>
    <t xml:space="preserve">Coefficient (prix TTC ÷ coût)</t>
  </si>
  <si>
    <t xml:space="preserve">Marge si commande de cet article seul, après colis, emballage, cadeau et livraison facturée (€)</t>
  </si>
  <si>
    <t xml:space="preserve">Prix plancher au coefficient visé (€)</t>
  </si>
  <si>
    <t xml:space="preserve">Alerte</t>
  </si>
  <si>
    <t xml:space="preserve">Onsha</t>
  </si>
  <si>
    <t xml:space="preserve">Pommeau de Douche Filtrant</t>
  </si>
  <si>
    <t xml:space="preserve">ONSHA-POMMEAU</t>
  </si>
  <si>
    <t xml:space="preserve">Réf. 12</t>
  </si>
  <si>
    <t xml:space="preserve">Douchette Filtrante</t>
  </si>
  <si>
    <t xml:space="preserve">ONSHA-DOUCHETTE</t>
  </si>
  <si>
    <t xml:space="preserve">Réf. 1</t>
  </si>
  <si>
    <t xml:space="preserve">Filtres Sédiment x3 (recharges douchette)</t>
  </si>
  <si>
    <t xml:space="preserve">ONSHA-SEDIMENT</t>
  </si>
  <si>
    <t xml:space="preserve">Réf. 3 (paquet de 3)</t>
  </si>
  <si>
    <t xml:space="preserve">Housse Personnalisable pour Douchette</t>
  </si>
  <si>
    <t xml:space="preserve">ONSHA-HOUSSE-*</t>
  </si>
  <si>
    <t xml:space="preserve">Réf. 2</t>
  </si>
  <si>
    <t xml:space="preserve">Coque de Diffusion Home</t>
  </si>
  <si>
    <t xml:space="preserve">ONSHA-COQUE-HOME</t>
  </si>
  <si>
    <t xml:space="preserve">Réf. 18</t>
  </si>
  <si>
    <t xml:space="preserve">Coque de Diffusion Nomade</t>
  </si>
  <si>
    <t xml:space="preserve">ONSHA-COQUE-NOMADE</t>
  </si>
  <si>
    <t xml:space="preserve">Réf. 11</t>
  </si>
  <si>
    <t xml:space="preserve">Filtre Thermal Vitaminé (Home)</t>
  </si>
  <si>
    <t xml:space="preserve">ONSHA-FILTRE-*</t>
  </si>
  <si>
    <t xml:space="preserve">Réf. 14 à 17</t>
  </si>
  <si>
    <t xml:space="preserve">Filtre Thermal Vitaminé (Home) Sans Senteur</t>
  </si>
  <si>
    <t xml:space="preserve">ONSHA-FILTRE-SANS-X1</t>
  </si>
  <si>
    <t xml:space="preserve">Absent de la fiche : même prix que réf. 14 supposé</t>
  </si>
  <si>
    <t xml:space="preserve">Capsule Thermale Coréenne (Nomade)</t>
  </si>
  <si>
    <t xml:space="preserve">ONSHA-CAPSULE-*</t>
  </si>
  <si>
    <t xml:space="preserve">Réf. 7 à 10</t>
  </si>
  <si>
    <t xml:space="preserve">Premier Rituel (Home)</t>
  </si>
  <si>
    <t xml:space="preserve">ONSHA-PREMIER-*</t>
  </si>
  <si>
    <t xml:space="preserve">Coque Home (18) + 1 filtre Home (14)</t>
  </si>
  <si>
    <t xml:space="preserve">Starter Home</t>
  </si>
  <si>
    <t xml:space="preserve">ONSHA-STARTER-*</t>
  </si>
  <si>
    <t xml:space="preserve">Pommeau (12) + coque Home (18) + 1 filtre Home (14)</t>
  </si>
  <si>
    <t xml:space="preserve">Set Découverte Home</t>
  </si>
  <si>
    <t xml:space="preserve">ONSHA-SET-HOME</t>
  </si>
  <si>
    <t xml:space="preserve">Réf. 13 (set coque + 4 filtres)</t>
  </si>
  <si>
    <t xml:space="preserve">Set Découverte Nomade</t>
  </si>
  <si>
    <t xml:space="preserve">ONSHA-SET-NOMADE</t>
  </si>
  <si>
    <t xml:space="preserve">Réf. 6 (set coque + 4 capsules)</t>
  </si>
  <si>
    <t xml:space="preserve">Coffret Douche Thermale Coréen (Home)</t>
  </si>
  <si>
    <t xml:space="preserve">ONSHA-COFFRET-HOME</t>
  </si>
  <si>
    <t xml:space="preserve">Pommeau (12) + set Home (13)</t>
  </si>
  <si>
    <t xml:space="preserve">Coffret Douche Thermale Coréen (Nomade)</t>
  </si>
  <si>
    <t xml:space="preserve">ONSHA-COFFRET-NOMADE</t>
  </si>
  <si>
    <t xml:space="preserve">Douchette (1) + sédiments x3 (3) + set Nomade (6)</t>
  </si>
  <si>
    <t xml:space="preserve">Sullab</t>
  </si>
  <si>
    <t xml:space="preserve">Filtre Robinet Lavabo</t>
  </si>
  <si>
    <t xml:space="preserve">SULLAB-ROBINET</t>
  </si>
  <si>
    <t xml:space="preserve">Réf. 19</t>
  </si>
  <si>
    <t xml:space="preserve">Lot 3 Sédiments (robinet)</t>
  </si>
  <si>
    <t xml:space="preserve">SULLAB-SEDIMENT-X3</t>
  </si>
  <si>
    <t xml:space="preserve">Réf. 20</t>
  </si>
  <si>
    <t xml:space="preserve">SHIFT</t>
  </si>
  <si>
    <t xml:space="preserve">Coffret Soin Douche Coréenne</t>
  </si>
  <si>
    <t xml:space="preserve">SHIFT-COFFRET-SOIN</t>
  </si>
  <si>
    <t xml:space="preserve">Pommeau avec 1 filtre (S1) + 1 capsule (1/6 de S4) (à confirmer)</t>
  </si>
  <si>
    <t xml:space="preserve">SHIFT-COFFRET-AROMA-*</t>
  </si>
  <si>
    <t xml:space="preserve">Aroma Therapy Shower Kit (S3) (à confirmer : tu as commandé des Trial Kits)</t>
  </si>
  <si>
    <t xml:space="preserve">Pack 3 Filtres à Sédiments (Pure Water)</t>
  </si>
  <si>
    <t xml:space="preserve">SHIFT-PUREWATER-X3</t>
  </si>
  <si>
    <t xml:space="preserve">Boîte de 3 filtres (S5)</t>
  </si>
  <si>
    <t xml:space="preserve">Pack 6 Capsules Soin &amp; Aromathérapie</t>
  </si>
  <si>
    <t xml:space="preserve">SHIFT-CAPS6-*</t>
  </si>
  <si>
    <t xml:space="preserve">Boîte de 6 capsules (S4)</t>
  </si>
  <si>
    <t xml:space="preserve">Simulateur de commande</t>
  </si>
  <si>
    <t xml:space="preserve">Choisis jusqu'à 6 produits dans la liste et leur quantité : tu vois ce qu'il te reste après tous les frais.</t>
  </si>
  <si>
    <t xml:space="preserve">Prix TTC total (€)</t>
  </si>
  <si>
    <t xml:space="preserve">Coût de revient total (€)</t>
  </si>
  <si>
    <t xml:space="preserve">Total payé par la cliente, produits (TTC)</t>
  </si>
  <si>
    <t xml:space="preserve">Astuce : compare un panier d'un seul article avec un panier de 2-3 articles. Les frais fixes (colis, emballage, paiement) pèsent beaucoup moins sur un gros panier.</t>
  </si>
  <si>
    <t xml:space="preserve">Chiffre d'affaires encaissé (hors TVA si assujettie)</t>
  </si>
  <si>
    <t xml:space="preserve">− Coût de revient des produits</t>
  </si>
  <si>
    <t xml:space="preserve">− Frais de paiement</t>
  </si>
  <si>
    <t xml:space="preserve">− Charges proportionnelles au CA</t>
  </si>
  <si>
    <t xml:space="preserve">− Expédition</t>
  </si>
  <si>
    <t xml:space="preserve">− Emballage et cadeau</t>
  </si>
  <si>
    <t xml:space="preserve">− Publicité</t>
  </si>
  <si>
    <t xml:space="preserve">CE QU'IL TE RESTE SUR CETTE COMMANDE</t>
  </si>
  <si>
    <t xml:space="preserve">Soit en % du chiffre d'affaires</t>
  </si>
  <si>
    <t xml:space="preserve">Frais fixes du mois et seuil de rentabilité</t>
  </si>
  <si>
    <t xml:space="preserve">Mets tes vrais abonnements, TTC (exemples en jaune). Mets 0 pour ce que tu n'as pas. La TVA est retirée automatiquement.</t>
  </si>
  <si>
    <t xml:space="preserve">Frais fixe mensuel</t>
  </si>
  <si>
    <t xml:space="preserve">Abonnement Shopify (annuel ÷ 12)</t>
  </si>
  <si>
    <t xml:space="preserve">D'après toi : environ 300 € payés à l'année.</t>
  </si>
  <si>
    <t xml:space="preserve">Applications Shopify</t>
  </si>
  <si>
    <t xml:space="preserve">Avis, bundles, traduction…</t>
  </si>
  <si>
    <t xml:space="preserve">Nom de domaine (coût annuel ÷ 12)</t>
  </si>
  <si>
    <t xml:space="preserve">Exemple.</t>
  </si>
  <si>
    <t xml:space="preserve">Klaviyo / emailing</t>
  </si>
  <si>
    <t xml:space="preserve">Gratuit jusqu'à un certain nombre de contacts.</t>
  </si>
  <si>
    <t xml:space="preserve">Canva, Metricool, outils de contenu</t>
  </si>
  <si>
    <t xml:space="preserve">Banque professionnelle</t>
  </si>
  <si>
    <t xml:space="preserve">Assurance responsabilité civile pro</t>
  </si>
  <si>
    <t xml:space="preserve">Recommandée pour la vente de produits.</t>
  </si>
  <si>
    <t xml:space="preserve">Comptable / logiciel de facturation</t>
  </si>
  <si>
    <t xml:space="preserve">Stockage, divers</t>
  </si>
  <si>
    <t xml:space="preserve">Total des frais fixes par mois (hors TVA si récupérable)</t>
  </si>
  <si>
    <t xml:space="preserve">Ce qu'il te reste en moyenne par commande (€)</t>
  </si>
  <si>
    <t xml:space="preserve">Repris du simulateur. Tu peux remplacer par ta vraie moyenne une fois que tu as des ventes.</t>
  </si>
  <si>
    <t xml:space="preserve">Commandes nécessaires par mois pour couvrir les frais fixes</t>
  </si>
  <si>
    <t xml:space="preserve">Soit environ par semaine</t>
  </si>
  <si>
    <t xml:space="preserve">Coffrets Onsha proposés · pour vendre les recharges par lot plutôt qu'à l'unité</t>
  </si>
  <si>
    <t xml:space="preserve">Propositions à tester, pas encore créées sur Shopify. Le prix proposé (bleu) est modifiable : tout se recalcule. Coûts et prix unitaires repris de l'onglet Marges produits.</t>
  </si>
  <si>
    <t xml:space="preserve">Coffret</t>
  </si>
  <si>
    <t xml:space="preserve">Objectif</t>
  </si>
  <si>
    <t xml:space="preserve">Composition</t>
  </si>
  <si>
    <t xml:space="preserve">Valeur si acheté à l'unité (€)</t>
  </si>
  <si>
    <t xml:space="preserve">Prix proposé TTC (€)</t>
  </si>
  <si>
    <t xml:space="preserve">Économie cliente</t>
  </si>
  <si>
    <t xml:space="preserve">Coût de revient (€)</t>
  </si>
  <si>
    <t xml:space="preserve">CA hors TVA (€)</t>
  </si>
  <si>
    <t xml:space="preserve">Taux de marge</t>
  </si>
  <si>
    <t xml:space="preserve">Il te reste si commandé seul (€)</t>
  </si>
  <si>
    <t xml:space="preserve">Comparaison : il te reste avec 1 seule unité (€)</t>
  </si>
  <si>
    <t xml:space="preserve">Livraison offerte ?</t>
  </si>
  <si>
    <t xml:space="preserve">Duo Filtres Home</t>
  </si>
  <si>
    <t xml:space="preserve">Faire racheter 2 filtres au lieu d'1</t>
  </si>
  <si>
    <t xml:space="preserve">2 filtres thermaux Home au choix</t>
  </si>
  <si>
    <t xml:space="preserve">Rituel Saison Home</t>
  </si>
  <si>
    <t xml:space="preserve">Recharge pour plusieurs mois, panier plus élevé</t>
  </si>
  <si>
    <t xml:space="preserve">4 filtres thermaux Home (au choix ou 1 de chaque senteur)</t>
  </si>
  <si>
    <t xml:space="preserve">Trio Capsules Nomade</t>
  </si>
  <si>
    <t xml:space="preserve">Remplacer l'achat d'une capsule seule (en perte)</t>
  </si>
  <si>
    <t xml:space="preserve">3 capsules thermales Nomade au choix</t>
  </si>
  <si>
    <t xml:space="preserve">Rituel Saison Nomade</t>
  </si>
  <si>
    <t xml:space="preserve">Recharge pour plusieurs mois</t>
  </si>
  <si>
    <t xml:space="preserve">6 capsules thermales Nomade au choix</t>
  </si>
  <si>
    <t xml:space="preserve">Douchette Habillée</t>
  </si>
  <si>
    <t xml:space="preserve">Vendre la housse avec la douchette (housse seule en perte)</t>
  </si>
  <si>
    <t xml:space="preserve">1 douchette filtrante + 1 housse au choix</t>
  </si>
  <si>
    <t xml:space="preserve">Duo Recharges Douchette</t>
  </si>
  <si>
    <t xml:space="preserve">Fidéliser les clientes de la douchette</t>
  </si>
  <si>
    <t xml:space="preserve">2 boîtes de 3 filtres sédiment (6 filtres)</t>
  </si>
  <si>
    <t xml:space="preserve">Set Découverte Home + 2 filtres</t>
  </si>
  <si>
    <t xml:space="preserve">Faire monter le panier dès le premier achat</t>
  </si>
  <si>
    <t xml:space="preserve">Set Découverte Home (coque + 4 filtres) + 2 filtres au choix</t>
  </si>
  <si>
    <t xml:space="preserve">Set Découverte Nomade + 3 capsules</t>
  </si>
  <si>
    <t xml:space="preserve">Set Découverte Nomade (coque + 4 capsules) + 3 capsules au choix</t>
  </si>
  <si>
    <t xml:space="preserve">Comment lire : la colonne « Il te reste si commandé seul » compte le colis, l'emballage, le cadeau et la livraison payée par la cliente. Compare-la à la dernière colonne : c'est ce que tu gagnes en plus en vendant le lot plutôt qu'une seule unité.</t>
  </si>
  <si>
    <t xml:space="preserve">Règle de prix utilisée : environ 7 à 16 % d'économie par rapport à l'unité. Assez pour donner envie, sans casser ta marge.</t>
  </si>
  <si>
    <t xml:space="preserve">Le cadeau à 3 € pèse beaucoup sur les petits paniers : mets 0 dans Paramètres pour voir l'effet, ou réserve-le aux commandes à partir de 40 €.</t>
  </si>
</sst>
</file>

<file path=xl/styles.xml><?xml version="1.0" encoding="utf-8"?>
<styleSheet xmlns="http://schemas.openxmlformats.org/spreadsheetml/2006/main">
  <numFmts count="12">
    <numFmt numFmtId="164" formatCode="General"/>
    <numFmt numFmtId="165" formatCode="0.0%;\(0.0%\);\-"/>
    <numFmt numFmtId="166" formatCode="0.0000&quot; €&quot;"/>
    <numFmt numFmtId="167" formatCode="0.000000&quot; €&quot;"/>
    <numFmt numFmtId="168" formatCode="#,##0.00&quot; €&quot;;\(#,##0.00&quot; €)&quot;;\-"/>
    <numFmt numFmtId="169" formatCode="#,##0;\(#,##0\);\-"/>
    <numFmt numFmtId="170" formatCode="0.00\x;\(0.00&quot;x)&quot;;\-"/>
    <numFmt numFmtId="171" formatCode="0.000000"/>
    <numFmt numFmtId="172" formatCode="0.000"/>
    <numFmt numFmtId="173" formatCode="\$#,##0.00;&quot;($&quot;#,##0.00\);\-"/>
    <numFmt numFmtId="174" formatCode="0.0"/>
    <numFmt numFmtId="175" formatCode="#,##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sz val="11"/>
      <color rgb="FF0000FF"/>
      <name val="Arial"/>
      <family val="0"/>
      <charset val="1"/>
    </font>
    <font>
      <i val="true"/>
      <sz val="11"/>
      <name val="Arial"/>
      <family val="0"/>
      <charset val="1"/>
    </font>
    <font>
      <sz val="11"/>
      <color rgb="FF008000"/>
      <name val="Arial"/>
      <family val="0"/>
      <charset val="1"/>
    </font>
    <font>
      <b val="true"/>
      <sz val="11"/>
      <color rgb="FFC00000"/>
      <name val="Arial"/>
      <family val="0"/>
      <charset val="1"/>
    </font>
  </fonts>
  <fills count="4">
    <fill>
      <patternFill patternType="none"/>
    </fill>
    <fill>
      <patternFill patternType="gray125"/>
    </fill>
    <fill>
      <patternFill patternType="solid">
        <fgColor rgb="FF8C6A4F"/>
        <bgColor rgb="FF808000"/>
      </patternFill>
    </fill>
    <fill>
      <patternFill patternType="solid">
        <fgColor rgb="FFFFFF00"/>
        <bgColor rgb="FFFFFF00"/>
      </patternFill>
    </fill>
  </fills>
  <borders count="2">
    <border diagonalUp="false" diagonalDown="false">
      <left/>
      <right/>
      <top/>
      <bottom/>
      <diagonal/>
    </border>
    <border diagonalUp="false" diagonalDown="false">
      <left style="thin">
        <color rgb="FFD9CFC4"/>
      </left>
      <right style="thin">
        <color rgb="FFD9CFC4"/>
      </right>
      <top style="thin">
        <color rgb="FFD9CFC4"/>
      </top>
      <bottom style="thin">
        <color rgb="FFD9CF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74" fontId="8"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75" fontId="8"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D8EBD3"/>
        </patternFill>
      </fill>
    </dxf>
    <dxf>
      <fill>
        <patternFill>
          <bgColor rgb="FFF8D7D2"/>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D9CFC4"/>
      <rgbColor rgb="FF8C6A4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8EBD3"/>
      <rgbColor rgb="FFFFFF99"/>
      <rgbColor rgb="FF99CCFF"/>
      <rgbColor rgb="FFFF99CC"/>
      <rgbColor rgb="FFCC99FF"/>
      <rgbColor rgb="FFF8D7D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17.35" hidden="false" customHeight="false" outlineLevel="0" collapsed="false">
      <c r="B2" s="1" t="s">
        <v>0</v>
      </c>
    </row>
    <row r="3" customFormat="false" ht="26.85" hidden="false" customHeight="false" outlineLevel="0" collapsed="false">
      <c r="B3" s="2" t="s">
        <v>1</v>
      </c>
    </row>
    <row r="4" customFormat="false" ht="52.2" hidden="false" customHeight="false" outlineLevel="0" collapsed="false">
      <c r="B4" s="2" t="s">
        <v>2</v>
      </c>
    </row>
    <row r="5" customFormat="false" ht="15" hidden="false" customHeight="false" outlineLevel="0" collapsed="false">
      <c r="B5" s="2"/>
    </row>
    <row r="6" customFormat="false" ht="15" hidden="false" customHeight="false" outlineLevel="0" collapsed="false">
      <c r="B6" s="3" t="s">
        <v>3</v>
      </c>
    </row>
    <row r="7" customFormat="false" ht="26.85" hidden="false" customHeight="false" outlineLevel="0" collapsed="false">
      <c r="B7" s="2" t="s">
        <v>4</v>
      </c>
    </row>
    <row r="8" customFormat="false" ht="15" hidden="false" customHeight="false" outlineLevel="0" collapsed="false">
      <c r="B8" s="2"/>
    </row>
    <row r="9" customFormat="false" ht="15" hidden="false" customHeight="false" outlineLevel="0" collapsed="false">
      <c r="B9" s="3" t="s">
        <v>5</v>
      </c>
    </row>
    <row r="10" customFormat="false" ht="15" hidden="false" customHeight="false" outlineLevel="0" collapsed="false">
      <c r="B10" s="2" t="s">
        <v>6</v>
      </c>
    </row>
    <row r="11" customFormat="false" ht="39.55" hidden="false" customHeight="false" outlineLevel="0" collapsed="false">
      <c r="B11" s="2" t="s">
        <v>7</v>
      </c>
    </row>
    <row r="12" customFormat="false" ht="15" hidden="false" customHeight="false" outlineLevel="0" collapsed="false">
      <c r="B12" s="2" t="s">
        <v>8</v>
      </c>
    </row>
    <row r="13" customFormat="false" ht="15" hidden="false" customHeight="false" outlineLevel="0" collapsed="false">
      <c r="B13" s="2" t="s">
        <v>9</v>
      </c>
    </row>
    <row r="14" customFormat="false" ht="15" hidden="false" customHeight="false" outlineLevel="0" collapsed="false">
      <c r="B14" s="2" t="s">
        <v>10</v>
      </c>
    </row>
    <row r="15" customFormat="false" ht="15" hidden="false" customHeight="false" outlineLevel="0" collapsed="false">
      <c r="B15" s="2" t="s">
        <v>11</v>
      </c>
    </row>
    <row r="16" customFormat="false" ht="15" hidden="false" customHeight="false" outlineLevel="0" collapsed="false">
      <c r="B16" s="2"/>
    </row>
    <row r="17" customFormat="false" ht="15" hidden="false" customHeight="false" outlineLevel="0" collapsed="false">
      <c r="B17" s="3" t="s">
        <v>12</v>
      </c>
    </row>
    <row r="18" customFormat="false" ht="26.85" hidden="false" customHeight="false" outlineLevel="0" collapsed="false">
      <c r="B18" s="2" t="s">
        <v>13</v>
      </c>
    </row>
    <row r="19" customFormat="false" ht="39.55" hidden="false" customHeight="false" outlineLevel="0" collapsed="false">
      <c r="B19" s="2" t="s">
        <v>14</v>
      </c>
    </row>
    <row r="20" customFormat="false" ht="64.9" hidden="false" customHeight="false" outlineLevel="0" collapsed="false">
      <c r="B20" s="2" t="s">
        <v>15</v>
      </c>
    </row>
    <row r="21" customFormat="false" ht="64.9" hidden="false" customHeight="false" outlineLevel="0" collapsed="false">
      <c r="B21" s="2" t="s">
        <v>16</v>
      </c>
    </row>
    <row r="22" customFormat="false" ht="26.85" hidden="false" customHeight="false" outlineLevel="0" collapsed="false">
      <c r="B22" s="2" t="s">
        <v>17</v>
      </c>
    </row>
    <row r="23" customFormat="false" ht="26.85" hidden="false" customHeight="false" outlineLevel="0" collapsed="false">
      <c r="B23"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8"/>
    <col collapsed="false" customWidth="true" hidden="false" outlineLevel="0" max="3" min="3" style="0" width="16"/>
    <col collapsed="false" customWidth="true" hidden="false" outlineLevel="0" max="4" min="4" style="0" width="80"/>
  </cols>
  <sheetData>
    <row r="2" customFormat="false" ht="17.35" hidden="false" customHeight="false" outlineLevel="0" collapsed="false">
      <c r="B2" s="4" t="s">
        <v>19</v>
      </c>
    </row>
    <row r="4" customFormat="false" ht="15" hidden="false" customHeight="false" outlineLevel="0" collapsed="false">
      <c r="B4" s="5" t="s">
        <v>20</v>
      </c>
      <c r="C4" s="5" t="s">
        <v>21</v>
      </c>
      <c r="D4" s="5" t="s">
        <v>22</v>
      </c>
    </row>
    <row r="5" customFormat="false" ht="31.5" hidden="false" customHeight="true" outlineLevel="0" collapsed="false">
      <c r="B5" s="6" t="s">
        <v>23</v>
      </c>
      <c r="C5" s="7" t="s">
        <v>24</v>
      </c>
      <c r="D5" s="8" t="s">
        <v>25</v>
      </c>
    </row>
    <row r="6" customFormat="false" ht="31.5" hidden="false" customHeight="true" outlineLevel="0" collapsed="false">
      <c r="B6" s="6" t="s">
        <v>26</v>
      </c>
      <c r="C6" s="9" t="n">
        <v>0.2</v>
      </c>
      <c r="D6" s="8" t="s">
        <v>27</v>
      </c>
    </row>
    <row r="7" customFormat="false" ht="31.5" hidden="false" customHeight="true" outlineLevel="0" collapsed="false">
      <c r="B7" s="6" t="s">
        <v>28</v>
      </c>
      <c r="C7" s="10" t="n">
        <v>0.86</v>
      </c>
      <c r="D7" s="8" t="s">
        <v>29</v>
      </c>
    </row>
    <row r="8" customFormat="false" ht="31.5" hidden="false" customHeight="true" outlineLevel="0" collapsed="false">
      <c r="B8" s="6" t="s">
        <v>30</v>
      </c>
      <c r="C8" s="11" t="n">
        <v>0.00063</v>
      </c>
      <c r="D8" s="8" t="s">
        <v>31</v>
      </c>
    </row>
    <row r="9" customFormat="false" ht="31.5" hidden="false" customHeight="true" outlineLevel="0" collapsed="false">
      <c r="B9" s="6" t="s">
        <v>32</v>
      </c>
      <c r="C9" s="7" t="s">
        <v>33</v>
      </c>
      <c r="D9" s="8" t="s">
        <v>34</v>
      </c>
    </row>
    <row r="10" customFormat="false" ht="31.5" hidden="false" customHeight="true" outlineLevel="0" collapsed="false">
      <c r="B10" s="6" t="s">
        <v>35</v>
      </c>
      <c r="C10" s="12" t="n">
        <v>0</v>
      </c>
      <c r="D10" s="8" t="s">
        <v>36</v>
      </c>
    </row>
    <row r="11" customFormat="false" ht="31.5" hidden="false" customHeight="true" outlineLevel="0" collapsed="false">
      <c r="B11" s="6" t="s">
        <v>37</v>
      </c>
      <c r="C11" s="12" t="n">
        <v>0.015</v>
      </c>
      <c r="D11" s="8" t="s">
        <v>38</v>
      </c>
    </row>
    <row r="12" customFormat="false" ht="31.5" hidden="false" customHeight="true" outlineLevel="0" collapsed="false">
      <c r="B12" s="6" t="s">
        <v>39</v>
      </c>
      <c r="C12" s="13" t="n">
        <v>0.25</v>
      </c>
      <c r="D12" s="8" t="s">
        <v>40</v>
      </c>
    </row>
    <row r="13" customFormat="false" ht="31.5" hidden="false" customHeight="true" outlineLevel="0" collapsed="false">
      <c r="B13" s="6" t="s">
        <v>41</v>
      </c>
      <c r="C13" s="9" t="n">
        <v>0</v>
      </c>
      <c r="D13" s="8" t="s">
        <v>42</v>
      </c>
    </row>
    <row r="14" customFormat="false" ht="31.5" hidden="false" customHeight="true" outlineLevel="0" collapsed="false">
      <c r="B14" s="6" t="s">
        <v>43</v>
      </c>
      <c r="C14" s="13" t="n">
        <v>4</v>
      </c>
      <c r="D14" s="8" t="s">
        <v>44</v>
      </c>
    </row>
    <row r="15" customFormat="false" ht="31.5" hidden="false" customHeight="true" outlineLevel="0" collapsed="false">
      <c r="B15" s="6" t="s">
        <v>45</v>
      </c>
      <c r="C15" s="14" t="n">
        <v>5.9</v>
      </c>
      <c r="D15" s="8" t="s">
        <v>46</v>
      </c>
    </row>
    <row r="16" customFormat="false" ht="31.5" hidden="false" customHeight="true" outlineLevel="0" collapsed="false">
      <c r="B16" s="6" t="s">
        <v>47</v>
      </c>
      <c r="C16" s="14" t="n">
        <v>80</v>
      </c>
      <c r="D16" s="8" t="s">
        <v>48</v>
      </c>
    </row>
    <row r="17" customFormat="false" ht="31.5" hidden="false" customHeight="true" outlineLevel="0" collapsed="false">
      <c r="B17" s="6" t="s">
        <v>49</v>
      </c>
      <c r="C17" s="14" t="n">
        <v>55</v>
      </c>
      <c r="D17" s="8" t="s">
        <v>50</v>
      </c>
    </row>
    <row r="18" customFormat="false" ht="31.5" hidden="false" customHeight="true" outlineLevel="0" collapsed="false">
      <c r="B18" s="6" t="s">
        <v>51</v>
      </c>
      <c r="C18" s="15" t="n">
        <v>40</v>
      </c>
      <c r="D18" s="8" t="s">
        <v>52</v>
      </c>
    </row>
    <row r="19" customFormat="false" ht="31.5" hidden="false" customHeight="true" outlineLevel="0" collapsed="false">
      <c r="B19" s="6" t="s">
        <v>53</v>
      </c>
      <c r="C19" s="14" t="n">
        <v>15</v>
      </c>
      <c r="D19" s="8" t="s">
        <v>54</v>
      </c>
    </row>
    <row r="20" customFormat="false" ht="31.5" hidden="false" customHeight="true" outlineLevel="0" collapsed="false">
      <c r="B20" s="6" t="s">
        <v>55</v>
      </c>
      <c r="C20" s="16" t="n">
        <v>50</v>
      </c>
      <c r="D20" s="8" t="s">
        <v>56</v>
      </c>
    </row>
    <row r="21" customFormat="false" ht="31.5" hidden="false" customHeight="true" outlineLevel="0" collapsed="false">
      <c r="B21" s="6" t="s">
        <v>57</v>
      </c>
      <c r="C21" s="13" t="n">
        <v>0.2</v>
      </c>
      <c r="D21" s="8" t="s">
        <v>58</v>
      </c>
    </row>
    <row r="22" customFormat="false" ht="31.5" hidden="false" customHeight="true" outlineLevel="0" collapsed="false">
      <c r="B22" s="6" t="s">
        <v>59</v>
      </c>
      <c r="C22" s="14" t="n">
        <v>1</v>
      </c>
      <c r="D22" s="8" t="s">
        <v>60</v>
      </c>
    </row>
    <row r="23" customFormat="false" ht="31.5" hidden="false" customHeight="true" outlineLevel="0" collapsed="false">
      <c r="B23" s="6" t="s">
        <v>61</v>
      </c>
      <c r="C23" s="13" t="n">
        <v>1</v>
      </c>
      <c r="D23" s="8" t="s">
        <v>62</v>
      </c>
    </row>
    <row r="24" customFormat="false" ht="31.5" hidden="false" customHeight="true" outlineLevel="0" collapsed="false">
      <c r="B24" s="6" t="s">
        <v>63</v>
      </c>
      <c r="C24" s="14" t="n">
        <v>0</v>
      </c>
      <c r="D24" s="8" t="s">
        <v>64</v>
      </c>
    </row>
    <row r="25" customFormat="false" ht="31.5" hidden="false" customHeight="true" outlineLevel="0" collapsed="false">
      <c r="B25" s="6" t="s">
        <v>65</v>
      </c>
      <c r="C25" s="17" t="n">
        <v>3</v>
      </c>
      <c r="D25" s="8" t="s">
        <v>66</v>
      </c>
    </row>
    <row r="26" customFormat="false" ht="31.5" hidden="false" customHeight="true" outlineLevel="0" collapsed="false">
      <c r="B26" s="6" t="s">
        <v>67</v>
      </c>
      <c r="C26" s="9" t="n">
        <v>0.4</v>
      </c>
      <c r="D26" s="8" t="s">
        <v>68</v>
      </c>
    </row>
    <row r="28" customFormat="false" ht="15" hidden="false" customHeight="false" outlineLevel="0" collapsed="false">
      <c r="B28" s="18" t="s">
        <v>69</v>
      </c>
    </row>
  </sheetData>
  <dataValidations count="2">
    <dataValidation allowBlank="false" errorStyle="stop" operator="between" showDropDown="false" showErrorMessage="false" showInputMessage="false" sqref="C5" type="list">
      <formula1>"Franchise,Assujettie"</formula1>
      <formula2>0</formula2>
    </dataValidation>
    <dataValidation allowBlank="false" errorStyle="stop" operator="between" showDropDown="false" showErrorMessage="false" showInputMessage="false" sqref="C9" type="list">
      <formula1>"Carton,MOQ"</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8"/>
    <col collapsed="false" customWidth="true" hidden="false" outlineLevel="0" max="6" min="6" style="0" width="70"/>
  </cols>
  <sheetData>
    <row r="2" customFormat="false" ht="17.35" hidden="false" customHeight="false" outlineLevel="0" collapsed="false">
      <c r="B2" s="4" t="s">
        <v>70</v>
      </c>
    </row>
    <row r="3" customFormat="false" ht="15" hidden="false" customHeight="false" outlineLevel="0" collapsed="false">
      <c r="B3" s="19" t="s">
        <v>71</v>
      </c>
    </row>
    <row r="5" customFormat="false" ht="15" hidden="false" customHeight="false" outlineLevel="0" collapsed="false">
      <c r="B5" s="5" t="s">
        <v>72</v>
      </c>
      <c r="C5" s="5" t="s">
        <v>73</v>
      </c>
      <c r="D5" s="5" t="s">
        <v>74</v>
      </c>
      <c r="E5" s="5" t="s">
        <v>75</v>
      </c>
      <c r="F5" s="5" t="s">
        <v>76</v>
      </c>
    </row>
    <row r="6" customFormat="false" ht="54.75" hidden="false" customHeight="true" outlineLevel="0" collapsed="false">
      <c r="B6" s="6" t="s">
        <v>77</v>
      </c>
      <c r="C6" s="15" t="n">
        <v>3329</v>
      </c>
      <c r="D6" s="15" t="n">
        <v>2285</v>
      </c>
      <c r="E6" s="15" t="n">
        <v>435</v>
      </c>
      <c r="F6" s="8" t="s">
        <v>78</v>
      </c>
    </row>
    <row r="7" customFormat="false" ht="30" hidden="false" customHeight="true" outlineLevel="0" collapsed="false">
      <c r="B7" s="6" t="s">
        <v>79</v>
      </c>
      <c r="C7" s="7" t="s">
        <v>80</v>
      </c>
      <c r="D7" s="7" t="s">
        <v>80</v>
      </c>
      <c r="E7" s="7" t="s">
        <v>81</v>
      </c>
      <c r="F7" s="8" t="s">
        <v>82</v>
      </c>
    </row>
    <row r="8" customFormat="false" ht="54.75" hidden="false" customHeight="true" outlineLevel="0" collapsed="false">
      <c r="B8" s="6" t="s">
        <v>83</v>
      </c>
      <c r="C8" s="7" t="s">
        <v>84</v>
      </c>
      <c r="D8" s="7" t="s">
        <v>84</v>
      </c>
      <c r="E8" s="7" t="s">
        <v>84</v>
      </c>
      <c r="F8" s="8" t="s">
        <v>85</v>
      </c>
    </row>
    <row r="9" customFormat="false" ht="30" hidden="false" customHeight="true" outlineLevel="0" collapsed="false">
      <c r="B9" s="6" t="s">
        <v>86</v>
      </c>
      <c r="C9" s="20" t="n">
        <f aca="false">IF(C7="USD",Paramètres!$C$7,IF(C7="KRW",Paramètres!$C$8,1))</f>
        <v>0.86</v>
      </c>
      <c r="D9" s="20" t="n">
        <f aca="false">IF(D7="USD",Paramètres!$C$7,IF(D7="KRW",Paramètres!$C$8,1))</f>
        <v>0.86</v>
      </c>
      <c r="E9" s="20" t="n">
        <f aca="false">IF(E7="USD",Paramètres!$C$7,IF(E7="KRW",Paramètres!$C$8,1))</f>
        <v>1</v>
      </c>
      <c r="F9" s="8" t="s">
        <v>87</v>
      </c>
    </row>
    <row r="10" customFormat="false" ht="30" hidden="false" customHeight="true" outlineLevel="0" collapsed="false">
      <c r="B10" s="6" t="s">
        <v>88</v>
      </c>
      <c r="C10" s="21" t="n">
        <f aca="false">C6*C9</f>
        <v>2862.94</v>
      </c>
      <c r="D10" s="21" t="n">
        <f aca="false">D6*D9</f>
        <v>1965.1</v>
      </c>
      <c r="E10" s="21" t="n">
        <f aca="false">E6*E9</f>
        <v>435</v>
      </c>
      <c r="F10" s="8"/>
    </row>
    <row r="11" customFormat="false" ht="54.75" hidden="false" customHeight="true" outlineLevel="0" collapsed="false">
      <c r="B11" s="6" t="s">
        <v>89</v>
      </c>
      <c r="C11" s="21" t="n">
        <f aca="false">773.61*Paramètres!$C$7</f>
        <v>665.3046</v>
      </c>
      <c r="D11" s="13" t="n">
        <v>250</v>
      </c>
      <c r="E11" s="13" t="n">
        <v>20.5</v>
      </c>
      <c r="F11" s="8" t="s">
        <v>90</v>
      </c>
    </row>
    <row r="12" customFormat="false" ht="30" hidden="false" customHeight="true" outlineLevel="0" collapsed="false">
      <c r="B12" s="6" t="s">
        <v>91</v>
      </c>
      <c r="C12" s="14" t="n">
        <v>0</v>
      </c>
      <c r="D12" s="14" t="n">
        <v>0</v>
      </c>
      <c r="E12" s="14" t="n">
        <v>0</v>
      </c>
      <c r="F12" s="8" t="s">
        <v>92</v>
      </c>
    </row>
    <row r="13" customFormat="false" ht="54.75" hidden="false" customHeight="true" outlineLevel="0" collapsed="false">
      <c r="B13" s="6" t="s">
        <v>93</v>
      </c>
      <c r="C13" s="13" t="n">
        <v>25</v>
      </c>
      <c r="D13" s="13" t="n">
        <v>40</v>
      </c>
      <c r="E13" s="13" t="n">
        <v>25</v>
      </c>
      <c r="F13" s="8" t="s">
        <v>94</v>
      </c>
    </row>
    <row r="14" customFormat="false" ht="54.75" hidden="false" customHeight="true" outlineLevel="0" collapsed="false">
      <c r="B14" s="6" t="s">
        <v>95</v>
      </c>
      <c r="C14" s="13" t="n">
        <v>30</v>
      </c>
      <c r="D14" s="13" t="n">
        <v>15</v>
      </c>
      <c r="E14" s="13" t="n">
        <v>15</v>
      </c>
      <c r="F14" s="8" t="s">
        <v>96</v>
      </c>
    </row>
    <row r="15" customFormat="false" ht="54.75" hidden="false" customHeight="true" outlineLevel="0" collapsed="false">
      <c r="B15" s="6" t="s">
        <v>97</v>
      </c>
      <c r="C15" s="22" t="n">
        <f aca="false">IF(C8="UE",0,Paramètres!$C$10)</f>
        <v>0</v>
      </c>
      <c r="D15" s="22" t="n">
        <f aca="false">IF(D8="UE",0,Paramètres!$C$10)</f>
        <v>0</v>
      </c>
      <c r="E15" s="22" t="n">
        <f aca="false">IF(E8="UE",0,Paramètres!$C$10)</f>
        <v>0</v>
      </c>
      <c r="F15" s="8" t="s">
        <v>98</v>
      </c>
    </row>
    <row r="16" customFormat="false" ht="30" hidden="false" customHeight="true" outlineLevel="0" collapsed="false">
      <c r="B16" s="6" t="s">
        <v>99</v>
      </c>
      <c r="C16" s="21" t="n">
        <f aca="false">(C10+C11+C12)*C15</f>
        <v>0</v>
      </c>
      <c r="D16" s="21" t="n">
        <f aca="false">(D10+D11+D12)*D15</f>
        <v>0</v>
      </c>
      <c r="E16" s="21" t="n">
        <f aca="false">(E10+E11+E12)*E15</f>
        <v>0</v>
      </c>
      <c r="F16" s="8" t="s">
        <v>100</v>
      </c>
    </row>
    <row r="17" customFormat="false" ht="54.75" hidden="false" customHeight="true" outlineLevel="0" collapsed="false">
      <c r="B17" s="6" t="s">
        <v>101</v>
      </c>
      <c r="C17" s="21" t="n">
        <f aca="false">IF(C8="UE",0,(C10+C11+C12+C16)*Paramètres!$C$6)</f>
        <v>705.64892</v>
      </c>
      <c r="D17" s="21" t="n">
        <f aca="false">IF(D8="UE",0,(D10+D11+D12+D16)*Paramètres!$C$6)</f>
        <v>443.02</v>
      </c>
      <c r="E17" s="21" t="n">
        <f aca="false">IF(E8="UE",0,(E10+E11+E12+E16)*Paramètres!$C$6)</f>
        <v>91.1</v>
      </c>
      <c r="F17" s="8" t="s">
        <v>102</v>
      </c>
    </row>
    <row r="18" customFormat="false" ht="30" hidden="false" customHeight="true" outlineLevel="0" collapsed="false">
      <c r="B18" s="6" t="s">
        <v>103</v>
      </c>
      <c r="C18" s="21" t="n">
        <f aca="false">SUM(C10:C14)+C16+C17</f>
        <v>4288.89352</v>
      </c>
      <c r="D18" s="21" t="n">
        <f aca="false">SUM(D10:D14)+D16+D17</f>
        <v>2713.12</v>
      </c>
      <c r="E18" s="21" t="n">
        <f aca="false">SUM(E10:E14)+E16+E17</f>
        <v>586.6</v>
      </c>
      <c r="F18" s="8"/>
    </row>
    <row r="19" customFormat="false" ht="30" hidden="false" customHeight="true" outlineLevel="0" collapsed="false">
      <c r="B19" s="6" t="s">
        <v>104</v>
      </c>
      <c r="C19" s="23" t="n">
        <f aca="false">IF(C10=0,1,(C18-C17)/C10)</f>
        <v>1.25159612146954</v>
      </c>
      <c r="D19" s="23" t="n">
        <f aca="false">IF(D10=0,1,(D18-D17)/D10)</f>
        <v>1.15520838634166</v>
      </c>
      <c r="E19" s="23" t="n">
        <f aca="false">IF(E10=0,1,(E18-E17)/E10)</f>
        <v>1.13908045977012</v>
      </c>
      <c r="F19" s="8" t="s">
        <v>105</v>
      </c>
    </row>
    <row r="20" customFormat="false" ht="30" hidden="false" customHeight="true" outlineLevel="0" collapsed="false">
      <c r="B20" s="6" t="s">
        <v>106</v>
      </c>
      <c r="C20" s="23" t="n">
        <f aca="false">IF(C10=0,1,C18/C10)</f>
        <v>1.4980731415957</v>
      </c>
      <c r="D20" s="23" t="n">
        <f aca="false">IF(D10=0,1,D18/D10)</f>
        <v>1.38065238410259</v>
      </c>
      <c r="E20" s="23" t="n">
        <f aca="false">IF(E10=0,1,E18/E10)</f>
        <v>1.34850574712644</v>
      </c>
      <c r="F20" s="8" t="s">
        <v>107</v>
      </c>
    </row>
    <row r="21" customFormat="false" ht="30" hidden="false" customHeight="true" outlineLevel="0" collapsed="false">
      <c r="B21" s="24" t="s">
        <v>108</v>
      </c>
      <c r="C21" s="25" t="n">
        <f aca="false">IF((Paramètres!$C$5="Assujettie"),C19,C20)</f>
        <v>1.25159612146954</v>
      </c>
      <c r="D21" s="25" t="n">
        <f aca="false">IF((Paramètres!$C$5="Assujettie"),D19,D20)</f>
        <v>1.15520838634166</v>
      </c>
      <c r="E21" s="25" t="n">
        <f aca="false">IF((Paramètres!$C$5="Assujettie"),E19,E20)</f>
        <v>1.13908045977012</v>
      </c>
      <c r="F21" s="8" t="s">
        <v>109</v>
      </c>
    </row>
  </sheetData>
  <dataValidations count="2">
    <dataValidation allowBlank="false" errorStyle="stop" operator="between" showDropDown="false" showErrorMessage="false" showInputMessage="false" sqref="C7:E7" type="list">
      <formula1>"USD,EUR,KRW"</formula1>
      <formula2>0</formula2>
    </dataValidation>
    <dataValidation allowBlank="false" errorStyle="stop" operator="between" showDropDown="false" showErrorMessage="false" showInputMessage="false" sqref="C8:E8" type="list">
      <formula1>"Hors UE,UE"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6" min="6" style="0" width="10"/>
    <col collapsed="false" customWidth="true" hidden="false" outlineLevel="0" max="7" min="7" style="0" width="13"/>
    <col collapsed="false" customWidth="true" hidden="false" outlineLevel="0" max="8" min="8" style="0" width="11"/>
    <col collapsed="false" customWidth="true" hidden="false" outlineLevel="0" max="9" min="9" style="0" width="13"/>
    <col collapsed="false" customWidth="true" hidden="false" outlineLevel="0" max="10" min="10" style="0" width="12"/>
    <col collapsed="false" customWidth="true" hidden="false" outlineLevel="0" max="11" min="11" style="0" width="10"/>
    <col collapsed="false" customWidth="true" hidden="false" outlineLevel="0" max="12" min="12" style="0" width="30"/>
    <col collapsed="false" customWidth="true" hidden="false" outlineLevel="0" max="14" min="13" style="0" width="12"/>
    <col collapsed="false" customWidth="true" hidden="false" outlineLevel="0" max="15" min="15" style="0" width="14"/>
  </cols>
  <sheetData>
    <row r="1" customFormat="false" ht="17.35" hidden="false" customHeight="false" outlineLevel="0" collapsed="false">
      <c r="A1" s="4" t="s">
        <v>110</v>
      </c>
    </row>
    <row r="2" customFormat="false" ht="15" hidden="false" customHeight="false" outlineLevel="0" collapsed="false">
      <c r="A2" s="19" t="s">
        <v>111</v>
      </c>
    </row>
    <row r="4" customFormat="false" ht="45" hidden="false" customHeight="true" outlineLevel="0" collapsed="false">
      <c r="A4" s="26" t="s">
        <v>112</v>
      </c>
      <c r="B4" s="26" t="s">
        <v>113</v>
      </c>
      <c r="C4" s="26" t="s">
        <v>114</v>
      </c>
      <c r="D4" s="26" t="s">
        <v>115</v>
      </c>
      <c r="E4" s="26" t="s">
        <v>116</v>
      </c>
      <c r="F4" s="26" t="s">
        <v>117</v>
      </c>
      <c r="G4" s="26" t="s">
        <v>118</v>
      </c>
      <c r="H4" s="26" t="s">
        <v>119</v>
      </c>
      <c r="I4" s="26" t="s">
        <v>120</v>
      </c>
      <c r="J4" s="26" t="s">
        <v>121</v>
      </c>
      <c r="K4" s="26" t="s">
        <v>122</v>
      </c>
      <c r="L4" s="26" t="s">
        <v>123</v>
      </c>
      <c r="M4" s="26" t="s">
        <v>124</v>
      </c>
      <c r="N4" s="26" t="s">
        <v>125</v>
      </c>
      <c r="O4" s="26" t="s">
        <v>126</v>
      </c>
    </row>
    <row r="5" customFormat="false" ht="15" hidden="false" customHeight="false" outlineLevel="0" collapsed="false">
      <c r="A5" s="6" t="n">
        <v>1</v>
      </c>
      <c r="B5" s="6" t="s">
        <v>127</v>
      </c>
      <c r="C5" s="7" t="s">
        <v>128</v>
      </c>
      <c r="D5" s="27" t="n">
        <v>6.5</v>
      </c>
      <c r="E5" s="28" t="n">
        <f aca="false">D5*F5</f>
        <v>260</v>
      </c>
      <c r="F5" s="15" t="n">
        <v>40</v>
      </c>
      <c r="G5" s="27" t="n">
        <v>5.5</v>
      </c>
      <c r="H5" s="15" t="n">
        <v>1000</v>
      </c>
      <c r="I5" s="28" t="n">
        <f aca="false">G5*H5</f>
        <v>5500</v>
      </c>
      <c r="J5" s="27" t="n">
        <v>15.5</v>
      </c>
      <c r="K5" s="29" t="n">
        <v>7.5</v>
      </c>
      <c r="L5" s="6"/>
      <c r="M5" s="28" t="n">
        <f aca="false">IF(Paramètres!$C$9="MOQ",G5,D5)</f>
        <v>6.5</v>
      </c>
      <c r="N5" s="21" t="n">
        <f aca="false">M5*Paramètres!$C$7</f>
        <v>5.59</v>
      </c>
      <c r="O5" s="30" t="n">
        <f aca="false">N5*Import!$C$21</f>
        <v>6.99642231901472</v>
      </c>
    </row>
    <row r="6" customFormat="false" ht="15" hidden="false" customHeight="false" outlineLevel="0" collapsed="false">
      <c r="A6" s="6" t="n">
        <v>2</v>
      </c>
      <c r="B6" s="6" t="s">
        <v>129</v>
      </c>
      <c r="C6" s="7" t="s">
        <v>130</v>
      </c>
      <c r="D6" s="27" t="n">
        <v>3.7</v>
      </c>
      <c r="E6" s="28" t="n">
        <f aca="false">D6*F6</f>
        <v>185</v>
      </c>
      <c r="F6" s="15" t="n">
        <v>50</v>
      </c>
      <c r="G6" s="27" t="n">
        <v>3.2</v>
      </c>
      <c r="H6" s="15" t="n">
        <v>1000</v>
      </c>
      <c r="I6" s="28" t="n">
        <f aca="false">G6*H6</f>
        <v>3200</v>
      </c>
      <c r="J6" s="27" t="n">
        <v>6.54</v>
      </c>
      <c r="K6" s="29" t="n">
        <v>5.5</v>
      </c>
      <c r="L6" s="6"/>
      <c r="M6" s="28" t="n">
        <f aca="false">IF(Paramètres!$C$9="MOQ",G6,D6)</f>
        <v>3.7</v>
      </c>
      <c r="N6" s="21" t="n">
        <f aca="false">M6*Paramètres!$C$7</f>
        <v>3.182</v>
      </c>
      <c r="O6" s="30" t="n">
        <f aca="false">N6*Import!$C$21</f>
        <v>3.98257885851607</v>
      </c>
    </row>
    <row r="7" customFormat="false" ht="15" hidden="false" customHeight="false" outlineLevel="0" collapsed="false">
      <c r="A7" s="6" t="n">
        <v>3</v>
      </c>
      <c r="B7" s="6" t="s">
        <v>131</v>
      </c>
      <c r="C7" s="7" t="s">
        <v>132</v>
      </c>
      <c r="D7" s="27" t="n">
        <v>4.2</v>
      </c>
      <c r="E7" s="28" t="n">
        <f aca="false">D7*F7</f>
        <v>226.8</v>
      </c>
      <c r="F7" s="15" t="n">
        <v>54</v>
      </c>
      <c r="G7" s="27" t="n">
        <v>3.8</v>
      </c>
      <c r="H7" s="15" t="n">
        <v>1026</v>
      </c>
      <c r="I7" s="28" t="n">
        <f aca="false">G7*H7</f>
        <v>3898.8</v>
      </c>
      <c r="J7" s="27" t="n">
        <v>9.5</v>
      </c>
      <c r="K7" s="29" t="n">
        <v>6.5</v>
      </c>
      <c r="L7" s="6" t="s">
        <v>133</v>
      </c>
      <c r="M7" s="28" t="n">
        <f aca="false">IF(Paramètres!$C$9="MOQ",G7,D7)</f>
        <v>4.2</v>
      </c>
      <c r="N7" s="21" t="n">
        <f aca="false">M7*Paramètres!$C$7</f>
        <v>3.612</v>
      </c>
      <c r="O7" s="30" t="n">
        <f aca="false">N7*Import!$C$21</f>
        <v>4.52076519074797</v>
      </c>
    </row>
    <row r="8" customFormat="false" ht="15" hidden="false" customHeight="false" outlineLevel="0" collapsed="false">
      <c r="A8" s="6" t="n">
        <v>4</v>
      </c>
      <c r="B8" s="6" t="s">
        <v>134</v>
      </c>
      <c r="C8" s="7" t="s">
        <v>135</v>
      </c>
      <c r="D8" s="27" t="n">
        <v>6</v>
      </c>
      <c r="E8" s="28" t="n">
        <f aca="false">D8*F8</f>
        <v>144</v>
      </c>
      <c r="F8" s="15" t="n">
        <v>24</v>
      </c>
      <c r="G8" s="27" t="n">
        <v>5</v>
      </c>
      <c r="H8" s="15" t="n">
        <v>1008</v>
      </c>
      <c r="I8" s="28" t="n">
        <f aca="false">G8*H8</f>
        <v>5040</v>
      </c>
      <c r="J8" s="27" t="n">
        <v>15</v>
      </c>
      <c r="K8" s="29" t="n">
        <v>8</v>
      </c>
      <c r="L8" s="6" t="s">
        <v>136</v>
      </c>
      <c r="M8" s="28" t="n">
        <f aca="false">IF(Paramètres!$C$9="MOQ",G8,D8)</f>
        <v>6</v>
      </c>
      <c r="N8" s="21" t="n">
        <f aca="false">M8*Paramètres!$C$7</f>
        <v>5.16</v>
      </c>
      <c r="O8" s="30" t="n">
        <f aca="false">N8*Import!$C$21</f>
        <v>6.45823598678282</v>
      </c>
    </row>
    <row r="9" customFormat="false" ht="15" hidden="false" customHeight="false" outlineLevel="0" collapsed="false">
      <c r="A9" s="6" t="n">
        <v>5</v>
      </c>
      <c r="B9" s="6" t="s">
        <v>137</v>
      </c>
      <c r="C9" s="7" t="s">
        <v>138</v>
      </c>
      <c r="D9" s="27" t="n">
        <v>6.5</v>
      </c>
      <c r="E9" s="28" t="n">
        <f aca="false">D9*F9</f>
        <v>156</v>
      </c>
      <c r="F9" s="15" t="n">
        <v>24</v>
      </c>
      <c r="G9" s="27" t="n">
        <v>5.2</v>
      </c>
      <c r="H9" s="15" t="n">
        <v>1008</v>
      </c>
      <c r="I9" s="28" t="n">
        <f aca="false">G9*H9</f>
        <v>5241.6</v>
      </c>
      <c r="J9" s="27" t="n">
        <v>16</v>
      </c>
      <c r="K9" s="29" t="n">
        <v>9</v>
      </c>
      <c r="L9" s="6" t="s">
        <v>136</v>
      </c>
      <c r="M9" s="28" t="n">
        <f aca="false">IF(Paramètres!$C$9="MOQ",G9,D9)</f>
        <v>6.5</v>
      </c>
      <c r="N9" s="21" t="n">
        <f aca="false">M9*Paramètres!$C$7</f>
        <v>5.59</v>
      </c>
      <c r="O9" s="30" t="n">
        <f aca="false">N9*Import!$C$21</f>
        <v>6.99642231901472</v>
      </c>
    </row>
    <row r="10" customFormat="false" ht="15" hidden="false" customHeight="false" outlineLevel="0" collapsed="false">
      <c r="A10" s="6" t="n">
        <v>6</v>
      </c>
      <c r="B10" s="6" t="s">
        <v>139</v>
      </c>
      <c r="C10" s="7" t="s">
        <v>140</v>
      </c>
      <c r="D10" s="27" t="n">
        <v>10.2</v>
      </c>
      <c r="E10" s="28" t="n">
        <f aca="false">D10*F10</f>
        <v>183.6</v>
      </c>
      <c r="F10" s="15" t="n">
        <v>18</v>
      </c>
      <c r="G10" s="27" t="n">
        <v>9.2</v>
      </c>
      <c r="H10" s="15" t="n">
        <v>1008</v>
      </c>
      <c r="I10" s="28" t="n">
        <f aca="false">G10*H10</f>
        <v>9273.6</v>
      </c>
      <c r="J10" s="27" t="n">
        <v>29</v>
      </c>
      <c r="K10" s="29" t="n">
        <v>5</v>
      </c>
      <c r="L10" s="6"/>
      <c r="M10" s="28" t="n">
        <f aca="false">IF(Paramètres!$C$9="MOQ",G10,D10)</f>
        <v>10.2</v>
      </c>
      <c r="N10" s="21" t="n">
        <f aca="false">M10*Paramètres!$C$7</f>
        <v>8.772</v>
      </c>
      <c r="O10" s="30" t="n">
        <f aca="false">N10*Import!$C$21</f>
        <v>10.9790011775308</v>
      </c>
    </row>
    <row r="11" customFormat="false" ht="15" hidden="false" customHeight="false" outlineLevel="0" collapsed="false">
      <c r="A11" s="6" t="n">
        <v>7</v>
      </c>
      <c r="B11" s="6" t="s">
        <v>141</v>
      </c>
      <c r="C11" s="7" t="s">
        <v>142</v>
      </c>
      <c r="D11" s="27" t="n">
        <v>2.3</v>
      </c>
      <c r="E11" s="28" t="n">
        <f aca="false">D11*F11</f>
        <v>460</v>
      </c>
      <c r="F11" s="15" t="n">
        <v>200</v>
      </c>
      <c r="G11" s="27" t="n">
        <v>1.8</v>
      </c>
      <c r="H11" s="15" t="n">
        <v>1000</v>
      </c>
      <c r="I11" s="28" t="n">
        <f aca="false">G11*H11</f>
        <v>1800</v>
      </c>
      <c r="J11" s="27" t="n">
        <v>6.54</v>
      </c>
      <c r="K11" s="29" t="n">
        <v>5.5</v>
      </c>
      <c r="L11" s="6"/>
      <c r="M11" s="28" t="n">
        <f aca="false">IF(Paramètres!$C$9="MOQ",G11,D11)</f>
        <v>2.3</v>
      </c>
      <c r="N11" s="21" t="n">
        <f aca="false">M11*Paramètres!$C$7</f>
        <v>1.978</v>
      </c>
      <c r="O11" s="30" t="n">
        <f aca="false">N11*Import!$C$21</f>
        <v>2.47565712826675</v>
      </c>
    </row>
    <row r="12" customFormat="false" ht="15" hidden="false" customHeight="false" outlineLevel="0" collapsed="false">
      <c r="A12" s="6" t="n">
        <v>8</v>
      </c>
      <c r="B12" s="6" t="s">
        <v>143</v>
      </c>
      <c r="C12" s="7" t="s">
        <v>144</v>
      </c>
      <c r="D12" s="27" t="n">
        <v>2.3</v>
      </c>
      <c r="E12" s="28" t="n">
        <f aca="false">D12*F12</f>
        <v>460</v>
      </c>
      <c r="F12" s="15" t="n">
        <v>200</v>
      </c>
      <c r="G12" s="27" t="n">
        <v>1.8</v>
      </c>
      <c r="H12" s="15" t="n">
        <v>1000</v>
      </c>
      <c r="I12" s="28" t="n">
        <f aca="false">G12*H12</f>
        <v>1800</v>
      </c>
      <c r="J12" s="27" t="n">
        <v>6.54</v>
      </c>
      <c r="K12" s="29" t="n">
        <v>5.5</v>
      </c>
      <c r="L12" s="6"/>
      <c r="M12" s="28" t="n">
        <f aca="false">IF(Paramètres!$C$9="MOQ",G12,D12)</f>
        <v>2.3</v>
      </c>
      <c r="N12" s="21" t="n">
        <f aca="false">M12*Paramètres!$C$7</f>
        <v>1.978</v>
      </c>
      <c r="O12" s="30" t="n">
        <f aca="false">N12*Import!$C$21</f>
        <v>2.47565712826675</v>
      </c>
    </row>
    <row r="13" customFormat="false" ht="15" hidden="false" customHeight="false" outlineLevel="0" collapsed="false">
      <c r="A13" s="6" t="n">
        <v>9</v>
      </c>
      <c r="B13" s="6" t="s">
        <v>145</v>
      </c>
      <c r="C13" s="7" t="s">
        <v>146</v>
      </c>
      <c r="D13" s="27" t="n">
        <v>2.3</v>
      </c>
      <c r="E13" s="28" t="n">
        <f aca="false">D13*F13</f>
        <v>460</v>
      </c>
      <c r="F13" s="15" t="n">
        <v>200</v>
      </c>
      <c r="G13" s="27" t="n">
        <v>1.8</v>
      </c>
      <c r="H13" s="15" t="n">
        <v>1000</v>
      </c>
      <c r="I13" s="28" t="n">
        <f aca="false">G13*H13</f>
        <v>1800</v>
      </c>
      <c r="J13" s="27" t="n">
        <v>6.54</v>
      </c>
      <c r="K13" s="29" t="n">
        <v>5.5</v>
      </c>
      <c r="L13" s="6"/>
      <c r="M13" s="28" t="n">
        <f aca="false">IF(Paramètres!$C$9="MOQ",G13,D13)</f>
        <v>2.3</v>
      </c>
      <c r="N13" s="21" t="n">
        <f aca="false">M13*Paramètres!$C$7</f>
        <v>1.978</v>
      </c>
      <c r="O13" s="30" t="n">
        <f aca="false">N13*Import!$C$21</f>
        <v>2.47565712826675</v>
      </c>
    </row>
    <row r="14" customFormat="false" ht="15" hidden="false" customHeight="false" outlineLevel="0" collapsed="false">
      <c r="A14" s="6" t="n">
        <v>10</v>
      </c>
      <c r="B14" s="6" t="s">
        <v>147</v>
      </c>
      <c r="C14" s="7" t="s">
        <v>148</v>
      </c>
      <c r="D14" s="27" t="n">
        <v>2.3</v>
      </c>
      <c r="E14" s="28" t="n">
        <f aca="false">D14*F14</f>
        <v>460</v>
      </c>
      <c r="F14" s="15" t="n">
        <v>200</v>
      </c>
      <c r="G14" s="27" t="n">
        <v>1.8</v>
      </c>
      <c r="H14" s="15" t="n">
        <v>1000</v>
      </c>
      <c r="I14" s="28" t="n">
        <f aca="false">G14*H14</f>
        <v>1800</v>
      </c>
      <c r="J14" s="27" t="n">
        <v>6.54</v>
      </c>
      <c r="K14" s="29" t="n">
        <v>5.5</v>
      </c>
      <c r="L14" s="6"/>
      <c r="M14" s="28" t="n">
        <f aca="false">IF(Paramètres!$C$9="MOQ",G14,D14)</f>
        <v>2.3</v>
      </c>
      <c r="N14" s="21" t="n">
        <f aca="false">M14*Paramètres!$C$7</f>
        <v>1.978</v>
      </c>
      <c r="O14" s="30" t="n">
        <f aca="false">N14*Import!$C$21</f>
        <v>2.47565712826675</v>
      </c>
    </row>
    <row r="15" customFormat="false" ht="15" hidden="false" customHeight="false" outlineLevel="0" collapsed="false">
      <c r="A15" s="6" t="n">
        <v>11</v>
      </c>
      <c r="B15" s="6" t="s">
        <v>149</v>
      </c>
      <c r="C15" s="7" t="s">
        <v>150</v>
      </c>
      <c r="D15" s="27" t="n">
        <v>2.3</v>
      </c>
      <c r="E15" s="28" t="n">
        <f aca="false">D15*F15</f>
        <v>460</v>
      </c>
      <c r="F15" s="15" t="n">
        <v>200</v>
      </c>
      <c r="G15" s="27" t="n">
        <v>1.8</v>
      </c>
      <c r="H15" s="15" t="n">
        <v>1000</v>
      </c>
      <c r="I15" s="28" t="n">
        <f aca="false">G15*H15</f>
        <v>1800</v>
      </c>
      <c r="J15" s="27" t="n">
        <v>6.15</v>
      </c>
      <c r="K15" s="29" t="n">
        <v>10.5</v>
      </c>
      <c r="L15" s="6"/>
      <c r="M15" s="28" t="n">
        <f aca="false">IF(Paramètres!$C$9="MOQ",G15,D15)</f>
        <v>2.3</v>
      </c>
      <c r="N15" s="21" t="n">
        <f aca="false">M15*Paramètres!$C$7</f>
        <v>1.978</v>
      </c>
      <c r="O15" s="30" t="n">
        <f aca="false">N15*Import!$C$21</f>
        <v>2.47565712826675</v>
      </c>
    </row>
    <row r="16" customFormat="false" ht="15" hidden="false" customHeight="false" outlineLevel="0" collapsed="false">
      <c r="A16" s="6" t="n">
        <v>12</v>
      </c>
      <c r="B16" s="6" t="s">
        <v>151</v>
      </c>
      <c r="C16" s="7" t="s">
        <v>152</v>
      </c>
      <c r="D16" s="27" t="n">
        <v>6.2</v>
      </c>
      <c r="E16" s="28" t="n">
        <f aca="false">D16*F16</f>
        <v>260.4</v>
      </c>
      <c r="F16" s="15" t="n">
        <v>42</v>
      </c>
      <c r="G16" s="27" t="n">
        <v>5.2</v>
      </c>
      <c r="H16" s="15" t="n">
        <v>1008</v>
      </c>
      <c r="I16" s="28" t="n">
        <f aca="false">G16*H16</f>
        <v>5241.6</v>
      </c>
      <c r="J16" s="27" t="n">
        <v>12.5</v>
      </c>
      <c r="K16" s="29" t="n">
        <v>8.5</v>
      </c>
      <c r="L16" s="6"/>
      <c r="M16" s="28" t="n">
        <f aca="false">IF(Paramètres!$C$9="MOQ",G16,D16)</f>
        <v>6.2</v>
      </c>
      <c r="N16" s="21" t="n">
        <f aca="false">M16*Paramètres!$C$7</f>
        <v>5.332</v>
      </c>
      <c r="O16" s="30" t="n">
        <f aca="false">N16*Import!$C$21</f>
        <v>6.67351051967558</v>
      </c>
    </row>
    <row r="17" customFormat="false" ht="15" hidden="false" customHeight="false" outlineLevel="0" collapsed="false">
      <c r="A17" s="6" t="n">
        <v>13</v>
      </c>
      <c r="B17" s="6" t="s">
        <v>153</v>
      </c>
      <c r="C17" s="7" t="s">
        <v>154</v>
      </c>
      <c r="D17" s="27" t="n">
        <v>20</v>
      </c>
      <c r="E17" s="28" t="n">
        <f aca="false">D17*F17</f>
        <v>240</v>
      </c>
      <c r="F17" s="15" t="n">
        <v>12</v>
      </c>
      <c r="G17" s="27" t="n">
        <v>18.5</v>
      </c>
      <c r="H17" s="15" t="n">
        <v>1008</v>
      </c>
      <c r="I17" s="28" t="n">
        <f aca="false">G17*H17</f>
        <v>18648</v>
      </c>
      <c r="J17" s="27" t="n">
        <v>45</v>
      </c>
      <c r="K17" s="29" t="n">
        <v>6.5</v>
      </c>
      <c r="L17" s="6"/>
      <c r="M17" s="28" t="n">
        <f aca="false">IF(Paramètres!$C$9="MOQ",G17,D17)</f>
        <v>20</v>
      </c>
      <c r="N17" s="21" t="n">
        <f aca="false">M17*Paramètres!$C$7</f>
        <v>17.2</v>
      </c>
      <c r="O17" s="30" t="n">
        <f aca="false">N17*Import!$C$21</f>
        <v>21.5274532892761</v>
      </c>
    </row>
    <row r="18" customFormat="false" ht="15" hidden="false" customHeight="false" outlineLevel="0" collapsed="false">
      <c r="A18" s="6" t="n">
        <v>14</v>
      </c>
      <c r="B18" s="6" t="s">
        <v>155</v>
      </c>
      <c r="C18" s="7" t="s">
        <v>156</v>
      </c>
      <c r="D18" s="27" t="n">
        <v>4.7</v>
      </c>
      <c r="E18" s="28" t="n">
        <f aca="false">D18*F18</f>
        <v>338.4</v>
      </c>
      <c r="F18" s="15" t="n">
        <v>72</v>
      </c>
      <c r="G18" s="27" t="n">
        <v>4.2</v>
      </c>
      <c r="H18" s="15" t="n">
        <v>1008</v>
      </c>
      <c r="I18" s="28" t="n">
        <f aca="false">G18*H18</f>
        <v>4233.6</v>
      </c>
      <c r="J18" s="27" t="n">
        <v>11</v>
      </c>
      <c r="K18" s="29" t="n">
        <v>6.5</v>
      </c>
      <c r="L18" s="6"/>
      <c r="M18" s="28" t="n">
        <f aca="false">IF(Paramètres!$C$9="MOQ",G18,D18)</f>
        <v>4.7</v>
      </c>
      <c r="N18" s="21" t="n">
        <f aca="false">M18*Paramètres!$C$7</f>
        <v>4.042</v>
      </c>
      <c r="O18" s="30" t="n">
        <f aca="false">N18*Import!$C$21</f>
        <v>5.05895152297987</v>
      </c>
    </row>
    <row r="19" customFormat="false" ht="15" hidden="false" customHeight="false" outlineLevel="0" collapsed="false">
      <c r="A19" s="6" t="n">
        <v>15</v>
      </c>
      <c r="B19" s="6" t="s">
        <v>157</v>
      </c>
      <c r="C19" s="7" t="s">
        <v>158</v>
      </c>
      <c r="D19" s="27" t="n">
        <v>4.7</v>
      </c>
      <c r="E19" s="28" t="n">
        <f aca="false">D19*F19</f>
        <v>338.4</v>
      </c>
      <c r="F19" s="15" t="n">
        <v>72</v>
      </c>
      <c r="G19" s="27" t="n">
        <v>4.2</v>
      </c>
      <c r="H19" s="15" t="n">
        <v>1008</v>
      </c>
      <c r="I19" s="28" t="n">
        <f aca="false">G19*H19</f>
        <v>4233.6</v>
      </c>
      <c r="J19" s="27" t="n">
        <v>11</v>
      </c>
      <c r="K19" s="29" t="n">
        <v>6.5</v>
      </c>
      <c r="L19" s="6"/>
      <c r="M19" s="28" t="n">
        <f aca="false">IF(Paramètres!$C$9="MOQ",G19,D19)</f>
        <v>4.7</v>
      </c>
      <c r="N19" s="21" t="n">
        <f aca="false">M19*Paramètres!$C$7</f>
        <v>4.042</v>
      </c>
      <c r="O19" s="30" t="n">
        <f aca="false">N19*Import!$C$21</f>
        <v>5.05895152297987</v>
      </c>
    </row>
    <row r="20" customFormat="false" ht="15" hidden="false" customHeight="false" outlineLevel="0" collapsed="false">
      <c r="A20" s="6" t="n">
        <v>16</v>
      </c>
      <c r="B20" s="6" t="s">
        <v>159</v>
      </c>
      <c r="C20" s="7" t="s">
        <v>160</v>
      </c>
      <c r="D20" s="27" t="n">
        <v>4.7</v>
      </c>
      <c r="E20" s="28" t="n">
        <f aca="false">D20*F20</f>
        <v>338.4</v>
      </c>
      <c r="F20" s="15" t="n">
        <v>72</v>
      </c>
      <c r="G20" s="27" t="n">
        <v>4.2</v>
      </c>
      <c r="H20" s="15" t="n">
        <v>1008</v>
      </c>
      <c r="I20" s="28" t="n">
        <f aca="false">G20*H20</f>
        <v>4233.6</v>
      </c>
      <c r="J20" s="27" t="n">
        <v>11</v>
      </c>
      <c r="K20" s="29" t="n">
        <v>6.5</v>
      </c>
      <c r="L20" s="6"/>
      <c r="M20" s="28" t="n">
        <f aca="false">IF(Paramètres!$C$9="MOQ",G20,D20)</f>
        <v>4.7</v>
      </c>
      <c r="N20" s="21" t="n">
        <f aca="false">M20*Paramètres!$C$7</f>
        <v>4.042</v>
      </c>
      <c r="O20" s="30" t="n">
        <f aca="false">N20*Import!$C$21</f>
        <v>5.05895152297987</v>
      </c>
    </row>
    <row r="21" customFormat="false" ht="15" hidden="false" customHeight="false" outlineLevel="0" collapsed="false">
      <c r="A21" s="6" t="n">
        <v>17</v>
      </c>
      <c r="B21" s="6" t="s">
        <v>161</v>
      </c>
      <c r="C21" s="7" t="s">
        <v>162</v>
      </c>
      <c r="D21" s="27" t="n">
        <v>4.7</v>
      </c>
      <c r="E21" s="28" t="n">
        <f aca="false">D21*F21</f>
        <v>338.4</v>
      </c>
      <c r="F21" s="15" t="n">
        <v>72</v>
      </c>
      <c r="G21" s="27" t="n">
        <v>4.2</v>
      </c>
      <c r="H21" s="15" t="n">
        <v>1008</v>
      </c>
      <c r="I21" s="28" t="n">
        <f aca="false">G21*H21</f>
        <v>4233.6</v>
      </c>
      <c r="J21" s="27" t="n">
        <v>11</v>
      </c>
      <c r="K21" s="29" t="n">
        <v>6.5</v>
      </c>
      <c r="L21" s="6"/>
      <c r="M21" s="28" t="n">
        <f aca="false">IF(Paramètres!$C$9="MOQ",G21,D21)</f>
        <v>4.7</v>
      </c>
      <c r="N21" s="21" t="n">
        <f aca="false">M21*Paramètres!$C$7</f>
        <v>4.042</v>
      </c>
      <c r="O21" s="30" t="n">
        <f aca="false">N21*Import!$C$21</f>
        <v>5.05895152297987</v>
      </c>
    </row>
    <row r="22" customFormat="false" ht="15" hidden="false" customHeight="false" outlineLevel="0" collapsed="false">
      <c r="A22" s="6" t="n">
        <v>18</v>
      </c>
      <c r="B22" s="6" t="s">
        <v>163</v>
      </c>
      <c r="C22" s="7" t="s">
        <v>164</v>
      </c>
      <c r="D22" s="27" t="n">
        <v>2.3</v>
      </c>
      <c r="E22" s="28" t="n">
        <f aca="false">D22*F22</f>
        <v>165.6</v>
      </c>
      <c r="F22" s="15" t="n">
        <v>72</v>
      </c>
      <c r="G22" s="27" t="n">
        <v>1.8</v>
      </c>
      <c r="H22" s="15" t="n">
        <v>1008</v>
      </c>
      <c r="I22" s="28" t="n">
        <f aca="false">G22*H22</f>
        <v>1814.4</v>
      </c>
      <c r="J22" s="27" t="n">
        <v>9</v>
      </c>
      <c r="K22" s="29" t="n">
        <v>8.5</v>
      </c>
      <c r="L22" s="6"/>
      <c r="M22" s="28" t="n">
        <f aca="false">IF(Paramètres!$C$9="MOQ",G22,D22)</f>
        <v>2.3</v>
      </c>
      <c r="N22" s="21" t="n">
        <f aca="false">M22*Paramètres!$C$7</f>
        <v>1.978</v>
      </c>
      <c r="O22" s="30" t="n">
        <f aca="false">N22*Import!$C$21</f>
        <v>2.47565712826675</v>
      </c>
    </row>
    <row r="23" customFormat="false" ht="15" hidden="false" customHeight="false" outlineLevel="0" collapsed="false">
      <c r="A23" s="6" t="n">
        <v>19</v>
      </c>
      <c r="B23" s="6" t="s">
        <v>165</v>
      </c>
      <c r="C23" s="7" t="s">
        <v>166</v>
      </c>
      <c r="D23" s="27" t="n">
        <v>5.4</v>
      </c>
      <c r="E23" s="28" t="n">
        <f aca="false">D23*F23</f>
        <v>388.8</v>
      </c>
      <c r="F23" s="15" t="n">
        <v>72</v>
      </c>
      <c r="G23" s="27" t="n">
        <v>4.6</v>
      </c>
      <c r="H23" s="15" t="n">
        <v>1008</v>
      </c>
      <c r="I23" s="28" t="n">
        <f aca="false">G23*H23</f>
        <v>4636.8</v>
      </c>
      <c r="J23" s="27" t="n">
        <v>15</v>
      </c>
      <c r="K23" s="29" t="n">
        <v>9</v>
      </c>
      <c r="L23" s="6" t="s">
        <v>167</v>
      </c>
      <c r="M23" s="28" t="n">
        <f aca="false">IF(Paramètres!$C$9="MOQ",G23,D23)</f>
        <v>5.4</v>
      </c>
      <c r="N23" s="21" t="n">
        <f aca="false">M23*Paramètres!$C$7</f>
        <v>4.644</v>
      </c>
      <c r="O23" s="30" t="n">
        <f aca="false">N23*Import!$C$21</f>
        <v>5.81241238810454</v>
      </c>
    </row>
    <row r="24" customFormat="false" ht="15" hidden="false" customHeight="false" outlineLevel="0" collapsed="false">
      <c r="A24" s="6" t="n">
        <v>20</v>
      </c>
      <c r="B24" s="6" t="s">
        <v>168</v>
      </c>
      <c r="C24" s="7" t="s">
        <v>169</v>
      </c>
      <c r="D24" s="27" t="n">
        <v>2.3</v>
      </c>
      <c r="E24" s="28" t="n">
        <f aca="false">D24*F24</f>
        <v>487.6</v>
      </c>
      <c r="F24" s="15" t="n">
        <v>212</v>
      </c>
      <c r="G24" s="27" t="n">
        <v>1.9</v>
      </c>
      <c r="H24" s="15" t="n">
        <v>1060</v>
      </c>
      <c r="I24" s="28" t="n">
        <f aca="false">G24*H24</f>
        <v>2014</v>
      </c>
      <c r="J24" s="27" t="n">
        <v>9</v>
      </c>
      <c r="K24" s="29" t="n">
        <v>8.5</v>
      </c>
      <c r="L24" s="6" t="s">
        <v>133</v>
      </c>
      <c r="M24" s="28" t="n">
        <f aca="false">IF(Paramètres!$C$9="MOQ",G24,D24)</f>
        <v>2.3</v>
      </c>
      <c r="N24" s="21" t="n">
        <f aca="false">M24*Paramètres!$C$7</f>
        <v>1.978</v>
      </c>
      <c r="O24" s="30" t="n">
        <f aca="false">N24*Import!$C$21</f>
        <v>2.47565712826675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40"/>
    <col collapsed="false" customWidth="true" hidden="false" outlineLevel="0" max="4" min="4" style="0" width="11"/>
    <col collapsed="false" customWidth="true" hidden="false" outlineLevel="0" max="5" min="5" style="0" width="8"/>
    <col collapsed="false" customWidth="true" hidden="false" outlineLevel="0" max="6" min="6" style="0" width="10"/>
    <col collapsed="false" customWidth="true" hidden="false" outlineLevel="0" max="7" min="7" style="0" width="13"/>
    <col collapsed="false" customWidth="true" hidden="false" outlineLevel="0" max="8" min="8" style="0" width="16"/>
    <col collapsed="false" customWidth="true" hidden="false" outlineLevel="0" max="10" min="9" style="0" width="11"/>
    <col collapsed="false" customWidth="true" hidden="false" outlineLevel="0" max="11" min="11" style="0" width="12"/>
    <col collapsed="false" customWidth="true" hidden="false" outlineLevel="0" max="12" min="12" style="0" width="14"/>
  </cols>
  <sheetData>
    <row r="1" customFormat="false" ht="17.35" hidden="false" customHeight="false" outlineLevel="0" collapsed="false">
      <c r="A1" s="4" t="s">
        <v>170</v>
      </c>
    </row>
    <row r="2" customFormat="false" ht="15" hidden="false" customHeight="false" outlineLevel="0" collapsed="false">
      <c r="A2" s="19" t="s">
        <v>171</v>
      </c>
    </row>
    <row r="4" customFormat="false" ht="45" hidden="false" customHeight="true" outlineLevel="0" collapsed="false">
      <c r="A4" s="26" t="s">
        <v>112</v>
      </c>
      <c r="B4" s="26" t="s">
        <v>113</v>
      </c>
      <c r="C4" s="26" t="s">
        <v>172</v>
      </c>
      <c r="D4" s="26" t="s">
        <v>173</v>
      </c>
      <c r="E4" s="26" t="s">
        <v>174</v>
      </c>
      <c r="F4" s="26" t="s">
        <v>117</v>
      </c>
      <c r="G4" s="26" t="s">
        <v>175</v>
      </c>
      <c r="H4" s="26" t="s">
        <v>176</v>
      </c>
      <c r="I4" s="26" t="s">
        <v>177</v>
      </c>
      <c r="J4" s="26" t="s">
        <v>178</v>
      </c>
      <c r="K4" s="26" t="s">
        <v>125</v>
      </c>
      <c r="L4" s="26" t="s">
        <v>126</v>
      </c>
    </row>
    <row r="5" customFormat="false" ht="15" hidden="false" customHeight="false" outlineLevel="0" collapsed="false">
      <c r="A5" s="6" t="s">
        <v>179</v>
      </c>
      <c r="B5" s="6" t="s">
        <v>180</v>
      </c>
      <c r="C5" s="7" t="s">
        <v>181</v>
      </c>
      <c r="D5" s="31" t="n">
        <v>14.5</v>
      </c>
      <c r="E5" s="7" t="s">
        <v>80</v>
      </c>
      <c r="F5" s="15" t="n">
        <v>26</v>
      </c>
      <c r="G5" s="15" t="n">
        <v>51000</v>
      </c>
      <c r="H5" s="6" t="s">
        <v>182</v>
      </c>
      <c r="I5" s="15" t="n">
        <v>0</v>
      </c>
      <c r="J5" s="20" t="n">
        <f aca="false">IF(E5="USD",Paramètres!$C$7,IF(E5="KRW",Paramètres!$C$8,1))</f>
        <v>0.86</v>
      </c>
      <c r="K5" s="21" t="n">
        <f aca="false">D5*J5</f>
        <v>12.47</v>
      </c>
      <c r="L5" s="30" t="n">
        <f aca="false">K5*Import!$D$21</f>
        <v>14.4054485776805</v>
      </c>
    </row>
    <row r="6" customFormat="false" ht="15" hidden="false" customHeight="false" outlineLevel="0" collapsed="false">
      <c r="A6" s="6" t="s">
        <v>183</v>
      </c>
      <c r="B6" s="6" t="s">
        <v>184</v>
      </c>
      <c r="C6" s="7" t="s">
        <v>185</v>
      </c>
      <c r="D6" s="31" t="n">
        <v>18.5</v>
      </c>
      <c r="E6" s="7" t="s">
        <v>80</v>
      </c>
      <c r="F6" s="15" t="n">
        <v>8</v>
      </c>
      <c r="G6" s="15" t="n">
        <v>59600</v>
      </c>
      <c r="H6" s="6" t="s">
        <v>186</v>
      </c>
      <c r="I6" s="15" t="n">
        <v>70</v>
      </c>
      <c r="J6" s="20" t="n">
        <f aca="false">IF(E6="USD",Paramètres!$C$7,IF(E6="KRW",Paramètres!$C$8,1))</f>
        <v>0.86</v>
      </c>
      <c r="K6" s="21" t="n">
        <f aca="false">D6*J6</f>
        <v>15.91</v>
      </c>
      <c r="L6" s="30" t="n">
        <f aca="false">K6*Import!$D$21</f>
        <v>18.3793654266958</v>
      </c>
    </row>
    <row r="7" customFormat="false" ht="15" hidden="false" customHeight="false" outlineLevel="0" collapsed="false">
      <c r="A7" s="6" t="s">
        <v>187</v>
      </c>
      <c r="B7" s="6" t="s">
        <v>188</v>
      </c>
      <c r="C7" s="7" t="s">
        <v>189</v>
      </c>
      <c r="D7" s="31" t="n">
        <v>35</v>
      </c>
      <c r="E7" s="7" t="s">
        <v>80</v>
      </c>
      <c r="F7" s="15" t="n">
        <v>4</v>
      </c>
      <c r="G7" s="15" t="n">
        <v>122000</v>
      </c>
      <c r="H7" s="6" t="s">
        <v>190</v>
      </c>
      <c r="I7" s="15" t="n">
        <v>0</v>
      </c>
      <c r="J7" s="20" t="n">
        <f aca="false">IF(E7="USD",Paramètres!$C$7,IF(E7="KRW",Paramètres!$C$8,1))</f>
        <v>0.86</v>
      </c>
      <c r="K7" s="21" t="n">
        <f aca="false">D7*J7</f>
        <v>30.1</v>
      </c>
      <c r="L7" s="30" t="n">
        <f aca="false">K7*Import!$D$21</f>
        <v>34.771772428884</v>
      </c>
    </row>
    <row r="8" customFormat="false" ht="15" hidden="false" customHeight="false" outlineLevel="0" collapsed="false">
      <c r="A8" s="6" t="s">
        <v>191</v>
      </c>
      <c r="B8" s="6" t="s">
        <v>192</v>
      </c>
      <c r="C8" s="7" t="s">
        <v>193</v>
      </c>
      <c r="D8" s="31" t="n">
        <v>6.5</v>
      </c>
      <c r="E8" s="7" t="s">
        <v>80</v>
      </c>
      <c r="F8" s="15" t="n">
        <v>20</v>
      </c>
      <c r="G8" s="15" t="n">
        <v>23400</v>
      </c>
      <c r="H8" s="6" t="s">
        <v>194</v>
      </c>
      <c r="I8" s="15" t="n">
        <v>130</v>
      </c>
      <c r="J8" s="20" t="n">
        <f aca="false">IF(E8="USD",Paramètres!$C$7,IF(E8="KRW",Paramètres!$C$8,1))</f>
        <v>0.86</v>
      </c>
      <c r="K8" s="21" t="n">
        <f aca="false">D8*J8</f>
        <v>5.59</v>
      </c>
      <c r="L8" s="30" t="n">
        <f aca="false">K8*Import!$D$21</f>
        <v>6.45761487964989</v>
      </c>
    </row>
    <row r="9" customFormat="false" ht="15" hidden="false" customHeight="false" outlineLevel="0" collapsed="false">
      <c r="A9" s="6" t="s">
        <v>195</v>
      </c>
      <c r="B9" s="6" t="s">
        <v>196</v>
      </c>
      <c r="C9" s="7" t="s">
        <v>197</v>
      </c>
      <c r="D9" s="31" t="n">
        <v>5.5</v>
      </c>
      <c r="E9" s="7" t="s">
        <v>80</v>
      </c>
      <c r="F9" s="15" t="n">
        <v>120</v>
      </c>
      <c r="G9" s="15" t="n">
        <v>17700</v>
      </c>
      <c r="H9" s="6" t="s">
        <v>198</v>
      </c>
      <c r="I9" s="15" t="n">
        <v>50</v>
      </c>
      <c r="J9" s="20" t="n">
        <f aca="false">IF(E9="USD",Paramètres!$C$7,IF(E9="KRW",Paramètres!$C$8,1))</f>
        <v>0.86</v>
      </c>
      <c r="K9" s="21" t="n">
        <f aca="false">D9*J9</f>
        <v>4.73</v>
      </c>
      <c r="L9" s="30" t="n">
        <f aca="false">K9*Import!$D$21</f>
        <v>5.46413566739606</v>
      </c>
    </row>
    <row r="10" customFormat="false" ht="15" hidden="false" customHeight="false" outlineLevel="0" collapsed="false">
      <c r="A10" s="6" t="s">
        <v>199</v>
      </c>
      <c r="B10" s="6" t="s">
        <v>200</v>
      </c>
      <c r="C10" s="7" t="s">
        <v>201</v>
      </c>
      <c r="D10" s="31" t="n">
        <v>13</v>
      </c>
      <c r="E10" s="7" t="s">
        <v>80</v>
      </c>
      <c r="F10" s="15" t="n">
        <v>14</v>
      </c>
      <c r="G10" s="15" t="n">
        <v>33000</v>
      </c>
      <c r="H10" s="6" t="s">
        <v>186</v>
      </c>
      <c r="I10" s="15" t="n">
        <v>0</v>
      </c>
      <c r="J10" s="20" t="n">
        <f aca="false">IF(E10="USD",Paramètres!$C$7,IF(E10="KRW",Paramètres!$C$8,1))</f>
        <v>0.86</v>
      </c>
      <c r="K10" s="21" t="n">
        <f aca="false">D10*J10</f>
        <v>11.18</v>
      </c>
      <c r="L10" s="30" t="n">
        <f aca="false">K10*Import!$D$21</f>
        <v>12.9152297592998</v>
      </c>
    </row>
    <row r="12" customFormat="false" ht="30" hidden="false" customHeight="true" outlineLevel="0" collapsed="false">
      <c r="A12" s="32" t="s">
        <v>202</v>
      </c>
      <c r="B12" s="32"/>
      <c r="C12" s="32"/>
      <c r="D12" s="32"/>
      <c r="E12" s="32"/>
      <c r="F12" s="32"/>
      <c r="G12" s="32"/>
      <c r="H12" s="32"/>
      <c r="I12" s="32"/>
      <c r="J12" s="32"/>
      <c r="K12" s="32"/>
      <c r="L12" s="32"/>
    </row>
    <row r="13" customFormat="false" ht="30" hidden="false" customHeight="true" outlineLevel="0" collapsed="false">
      <c r="A13" s="32" t="s">
        <v>203</v>
      </c>
      <c r="B13" s="32"/>
      <c r="C13" s="32"/>
      <c r="D13" s="32"/>
      <c r="E13" s="32"/>
      <c r="F13" s="32"/>
      <c r="G13" s="32"/>
      <c r="H13" s="32"/>
      <c r="I13" s="32"/>
      <c r="J13" s="32"/>
      <c r="K13" s="32"/>
      <c r="L13" s="32"/>
    </row>
    <row r="14" customFormat="false" ht="30" hidden="false" customHeight="true" outlineLevel="0" collapsed="false">
      <c r="A14" s="32" t="s">
        <v>204</v>
      </c>
      <c r="B14" s="32"/>
      <c r="C14" s="32"/>
      <c r="D14" s="32"/>
      <c r="E14" s="32"/>
      <c r="F14" s="32"/>
      <c r="G14" s="32"/>
      <c r="H14" s="32"/>
      <c r="I14" s="32"/>
      <c r="J14" s="32"/>
      <c r="K14" s="32"/>
      <c r="L14" s="32"/>
    </row>
  </sheetData>
  <mergeCells count="3">
    <mergeCell ref="A12:L12"/>
    <mergeCell ref="A13:L13"/>
    <mergeCell ref="A14:L14"/>
  </mergeCells>
  <dataValidations count="1">
    <dataValidation allowBlank="false" errorStyle="stop" operator="between" showDropDown="false" showErrorMessage="false" showInputMessage="false" sqref="E5:E10" type="list">
      <formula1>"USD,EUR,KRW"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3" min="3" style="0" width="13"/>
    <col collapsed="false" customWidth="true" hidden="false" outlineLevel="0" max="4" min="4" style="0" width="12"/>
    <col collapsed="false" customWidth="true" hidden="false" outlineLevel="0" max="6" min="5" style="0" width="15"/>
    <col collapsed="false" customWidth="true" hidden="false" outlineLevel="0" max="7" min="7" style="0" width="11"/>
    <col collapsed="false" customWidth="true" hidden="false" outlineLevel="0" max="8" min="8" style="0" width="50"/>
  </cols>
  <sheetData>
    <row r="1" customFormat="false" ht="17.35" hidden="false" customHeight="false" outlineLevel="0" collapsed="false">
      <c r="A1" s="4" t="s">
        <v>205</v>
      </c>
    </row>
    <row r="2" customFormat="false" ht="15" hidden="false" customHeight="false" outlineLevel="0" collapsed="false">
      <c r="A2" s="19" t="s">
        <v>206</v>
      </c>
    </row>
    <row r="4" customFormat="false" ht="45" hidden="false" customHeight="true" outlineLevel="0" collapsed="false">
      <c r="A4" s="26" t="s">
        <v>207</v>
      </c>
      <c r="B4" s="26" t="s">
        <v>208</v>
      </c>
      <c r="C4" s="26" t="s">
        <v>209</v>
      </c>
      <c r="D4" s="26" t="s">
        <v>210</v>
      </c>
      <c r="E4" s="26" t="s">
        <v>211</v>
      </c>
      <c r="F4" s="26" t="s">
        <v>212</v>
      </c>
      <c r="G4" s="26" t="s">
        <v>213</v>
      </c>
      <c r="H4" s="26" t="s">
        <v>214</v>
      </c>
    </row>
    <row r="5" customFormat="false" ht="15" hidden="false" customHeight="false" outlineLevel="0" collapsed="false">
      <c r="A5" s="6" t="s">
        <v>215</v>
      </c>
      <c r="B5" s="15" t="n">
        <v>7</v>
      </c>
      <c r="C5" s="14" t="n">
        <v>15</v>
      </c>
      <c r="D5" s="21" t="n">
        <f aca="false">B5*C5</f>
        <v>105</v>
      </c>
      <c r="E5" s="30" t="n">
        <f aca="false">C5*Import!$E$21</f>
        <v>17.0862068965517</v>
      </c>
      <c r="F5" s="13"/>
      <c r="G5" s="33" t="n">
        <f aca="false">IF(OR(E5=0,F5=""),0,F5/E5)</f>
        <v>0</v>
      </c>
      <c r="H5" s="6"/>
    </row>
    <row r="6" customFormat="false" ht="15" hidden="false" customHeight="false" outlineLevel="0" collapsed="false">
      <c r="A6" s="6" t="s">
        <v>216</v>
      </c>
      <c r="B6" s="15" t="n">
        <v>10</v>
      </c>
      <c r="C6" s="14" t="n">
        <v>10</v>
      </c>
      <c r="D6" s="21" t="n">
        <f aca="false">B6*C6</f>
        <v>100</v>
      </c>
      <c r="E6" s="30" t="n">
        <f aca="false">C6*Import!$E$21</f>
        <v>11.3908045977012</v>
      </c>
      <c r="F6" s="13"/>
      <c r="G6" s="33" t="n">
        <f aca="false">IF(OR(E6=0,F6=""),0,F6/E6)</f>
        <v>0</v>
      </c>
      <c r="H6" s="6"/>
    </row>
    <row r="7" customFormat="false" ht="15" hidden="false" customHeight="false" outlineLevel="0" collapsed="false">
      <c r="A7" s="6" t="s">
        <v>217</v>
      </c>
      <c r="B7" s="15" t="n">
        <v>5</v>
      </c>
      <c r="C7" s="14" t="n">
        <v>10</v>
      </c>
      <c r="D7" s="21" t="n">
        <f aca="false">B7*C7</f>
        <v>50</v>
      </c>
      <c r="E7" s="30" t="n">
        <f aca="false">C7*Import!$E$21</f>
        <v>11.3908045977012</v>
      </c>
      <c r="F7" s="13"/>
      <c r="G7" s="33" t="n">
        <f aca="false">IF(OR(E7=0,F7=""),0,F7/E7)</f>
        <v>0</v>
      </c>
      <c r="H7" s="6"/>
    </row>
    <row r="8" customFormat="false" ht="15" hidden="false" customHeight="false" outlineLevel="0" collapsed="false">
      <c r="A8" s="6" t="s">
        <v>218</v>
      </c>
      <c r="B8" s="15" t="n">
        <v>5</v>
      </c>
      <c r="C8" s="14" t="n">
        <v>10</v>
      </c>
      <c r="D8" s="21" t="n">
        <f aca="false">B8*C8</f>
        <v>50</v>
      </c>
      <c r="E8" s="30" t="n">
        <f aca="false">C8*Import!$E$21</f>
        <v>11.3908045977012</v>
      </c>
      <c r="F8" s="13"/>
      <c r="G8" s="33" t="n">
        <f aca="false">IF(OR(E8=0,F8=""),0,F8/E8)</f>
        <v>0</v>
      </c>
      <c r="H8" s="6"/>
    </row>
    <row r="9" customFormat="false" ht="15" hidden="false" customHeight="false" outlineLevel="0" collapsed="false">
      <c r="A9" s="6" t="s">
        <v>219</v>
      </c>
      <c r="B9" s="15" t="n">
        <v>10</v>
      </c>
      <c r="C9" s="14" t="n">
        <v>5</v>
      </c>
      <c r="D9" s="21" t="n">
        <f aca="false">B9*C9</f>
        <v>50</v>
      </c>
      <c r="E9" s="30" t="n">
        <f aca="false">C9*Import!$E$21</f>
        <v>5.69540229885058</v>
      </c>
      <c r="F9" s="13"/>
      <c r="G9" s="33" t="n">
        <f aca="false">IF(OR(E9=0,F9=""),0,F9/E9)</f>
        <v>0</v>
      </c>
      <c r="H9" s="6" t="s">
        <v>220</v>
      </c>
    </row>
    <row r="10" customFormat="false" ht="15" hidden="false" customHeight="false" outlineLevel="0" collapsed="false">
      <c r="A10" s="6" t="s">
        <v>221</v>
      </c>
      <c r="B10" s="15" t="n">
        <v>10</v>
      </c>
      <c r="C10" s="14" t="n">
        <v>4</v>
      </c>
      <c r="D10" s="21" t="n">
        <f aca="false">B10*C10</f>
        <v>40</v>
      </c>
      <c r="E10" s="30" t="n">
        <f aca="false">C10*Import!$E$21</f>
        <v>4.55632183908046</v>
      </c>
      <c r="F10" s="13"/>
      <c r="G10" s="33" t="n">
        <f aca="false">IF(OR(E10=0,F10=""),0,F10/E10)</f>
        <v>0</v>
      </c>
      <c r="H10" s="6" t="s">
        <v>220</v>
      </c>
    </row>
    <row r="11" customFormat="false" ht="15" hidden="false" customHeight="false" outlineLevel="0" collapsed="false">
      <c r="A11" s="6" t="s">
        <v>222</v>
      </c>
      <c r="B11" s="15" t="n">
        <v>10</v>
      </c>
      <c r="C11" s="14" t="n">
        <v>4</v>
      </c>
      <c r="D11" s="21" t="n">
        <f aca="false">B11*C11</f>
        <v>40</v>
      </c>
      <c r="E11" s="30" t="n">
        <f aca="false">C11*Import!$E$21</f>
        <v>4.55632183908046</v>
      </c>
      <c r="F11" s="13"/>
      <c r="G11" s="33" t="n">
        <f aca="false">IF(OR(E11=0,F11=""),0,F11/E11)</f>
        <v>0</v>
      </c>
      <c r="H11" s="6" t="s">
        <v>220</v>
      </c>
    </row>
    <row r="12" customFormat="false" ht="15" hidden="false" customHeight="false" outlineLevel="0" collapsed="false">
      <c r="A12" s="24" t="s">
        <v>223</v>
      </c>
      <c r="D12" s="30" t="n">
        <f aca="false">SUM(D5:D11)</f>
        <v>435</v>
      </c>
    </row>
    <row r="13" customFormat="false" ht="15" hidden="false" customHeight="false" outlineLevel="0" collapsed="false">
      <c r="A13" s="6" t="s">
        <v>224</v>
      </c>
      <c r="D13" s="14" t="n">
        <v>20.5</v>
      </c>
    </row>
    <row r="14" customFormat="false" ht="15" hidden="false" customHeight="false" outlineLevel="0" collapsed="false">
      <c r="A14" s="24" t="s">
        <v>225</v>
      </c>
      <c r="D14" s="30" t="n">
        <f aca="false">D12+D13</f>
        <v>455.5</v>
      </c>
    </row>
    <row r="16" customFormat="false" ht="45" hidden="false" customHeight="true" outlineLevel="0" collapsed="false">
      <c r="A16" s="34" t="s">
        <v>226</v>
      </c>
      <c r="B16" s="34"/>
      <c r="C16" s="34"/>
      <c r="D16" s="34"/>
      <c r="E16" s="34"/>
      <c r="F16" s="34"/>
      <c r="G16" s="34"/>
      <c r="H16" s="34"/>
    </row>
  </sheetData>
  <mergeCells count="1">
    <mergeCell ref="A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22"/>
    <col collapsed="false" customWidth="true" hidden="false" outlineLevel="0" max="4" min="4" style="0" width="44"/>
    <col collapsed="false" customWidth="true" hidden="false" outlineLevel="0" max="5" min="5" style="0" width="12"/>
    <col collapsed="false" customWidth="true" hidden="false" outlineLevel="0" max="7" min="6" style="0" width="13"/>
    <col collapsed="false" customWidth="true" hidden="false" outlineLevel="0" max="12" min="8" style="0" width="12"/>
    <col collapsed="false" customWidth="true" hidden="false" outlineLevel="0" max="13" min="13" style="0" width="13"/>
    <col collapsed="false" customWidth="true" hidden="false" outlineLevel="0" max="14" min="14" style="0" width="15"/>
    <col collapsed="false" customWidth="true" hidden="false" outlineLevel="0" max="15" min="15" style="0" width="14"/>
    <col collapsed="false" customWidth="true" hidden="false" outlineLevel="0" max="16" min="16" style="0" width="26"/>
  </cols>
  <sheetData>
    <row r="1" customFormat="false" ht="17.35" hidden="false" customHeight="false" outlineLevel="0" collapsed="false">
      <c r="A1" s="4" t="s">
        <v>227</v>
      </c>
    </row>
    <row r="2" customFormat="false" ht="15" hidden="false" customHeight="false" outlineLevel="0" collapsed="false">
      <c r="A2" s="19" t="s">
        <v>228</v>
      </c>
    </row>
    <row r="4" customFormat="false" ht="45" hidden="false" customHeight="true" outlineLevel="0" collapsed="false">
      <c r="A4" s="26" t="s">
        <v>229</v>
      </c>
      <c r="B4" s="26" t="s">
        <v>230</v>
      </c>
      <c r="C4" s="26" t="s">
        <v>231</v>
      </c>
      <c r="D4" s="26" t="s">
        <v>232</v>
      </c>
      <c r="E4" s="26" t="s">
        <v>233</v>
      </c>
      <c r="F4" s="26" t="s">
        <v>234</v>
      </c>
      <c r="G4" s="26" t="s">
        <v>126</v>
      </c>
      <c r="H4" s="26" t="s">
        <v>235</v>
      </c>
      <c r="I4" s="26" t="s">
        <v>236</v>
      </c>
      <c r="J4" s="26" t="s">
        <v>237</v>
      </c>
      <c r="K4" s="26" t="s">
        <v>238</v>
      </c>
      <c r="L4" s="26" t="s">
        <v>239</v>
      </c>
      <c r="M4" s="26" t="s">
        <v>240</v>
      </c>
      <c r="N4" s="26" t="s">
        <v>241</v>
      </c>
      <c r="O4" s="26" t="s">
        <v>242</v>
      </c>
      <c r="P4" s="26" t="s">
        <v>243</v>
      </c>
    </row>
    <row r="5" customFormat="false" ht="30" hidden="false" customHeight="true" outlineLevel="0" collapsed="false">
      <c r="A5" s="6" t="s">
        <v>244</v>
      </c>
      <c r="B5" s="6" t="s">
        <v>245</v>
      </c>
      <c r="C5" s="6" t="s">
        <v>246</v>
      </c>
      <c r="D5" s="8" t="s">
        <v>247</v>
      </c>
      <c r="E5" s="14" t="n">
        <v>23.9</v>
      </c>
      <c r="F5" s="35" t="n">
        <f aca="false">'Tarifs Onsha-Sullab'!$N$16</f>
        <v>5.332</v>
      </c>
      <c r="G5" s="35" t="n">
        <f aca="false">'Tarifs Onsha-Sullab'!$O$16</f>
        <v>6.67351051967558</v>
      </c>
      <c r="H5" s="21" t="n">
        <f aca="false">IF((Paramètres!$C$5="Assujettie"),E5/(1+Paramètres!$C$6),E5)</f>
        <v>19.9166666666667</v>
      </c>
      <c r="I5" s="21" t="n">
        <f aca="false">E5*Paramètres!$C$11</f>
        <v>0.3585</v>
      </c>
      <c r="J5" s="21" t="n">
        <f aca="false">H5*Paramètres!$C$13</f>
        <v>0</v>
      </c>
      <c r="K5" s="30" t="n">
        <f aca="false">IF(G5=0,0,H5-G5-I5-J5)</f>
        <v>12.8846561469911</v>
      </c>
      <c r="L5" s="36" t="n">
        <f aca="false">IF(H5=0,0,K5/H5)</f>
        <v>0.646928342108339</v>
      </c>
      <c r="M5" s="33" t="n">
        <f aca="false">IF(G5=0,0,E5/G5)</f>
        <v>3.58132349226624</v>
      </c>
      <c r="N5" s="30" t="n">
        <f aca="false">IF(G5=0,0,K5-Paramètres!$C$12-(Paramètres!$C$14+Paramètres!$C$22+Paramètres!$C$23)*IF((Paramètres!$C$5="Assujettie"),1/(1+Paramètres!$C$6),1)-Paramètres!$C$24+IF(E5&gt;=Paramètres!$C$16,0,Paramètres!$C$15*IF((Paramètres!$C$5="Assujettie"),1/(1+Paramètres!$C$6),1)*(1-Paramètres!$C$13)-Paramètres!$C$15*Paramètres!$C$11))</f>
        <v>12.4628228136578</v>
      </c>
      <c r="O5" s="21" t="n">
        <f aca="false">G5*Paramètres!$C$25</f>
        <v>20.0205315590267</v>
      </c>
      <c r="P5" s="6" t="str">
        <f aca="false">IF(G5=0,"Prix fournisseur manquant",IF(N5&lt;0,"Perte si vendu seul",IF(L5&lt;Paramètres!$C$26,"Marge faible","OK")))</f>
        <v>OK</v>
      </c>
    </row>
    <row r="6" customFormat="false" ht="30" hidden="false" customHeight="true" outlineLevel="0" collapsed="false">
      <c r="A6" s="6" t="s">
        <v>244</v>
      </c>
      <c r="B6" s="6" t="s">
        <v>248</v>
      </c>
      <c r="C6" s="6" t="s">
        <v>249</v>
      </c>
      <c r="D6" s="8" t="s">
        <v>250</v>
      </c>
      <c r="E6" s="14" t="n">
        <v>23.9</v>
      </c>
      <c r="F6" s="35" t="n">
        <f aca="false">'Tarifs Onsha-Sullab'!$N$5</f>
        <v>5.59</v>
      </c>
      <c r="G6" s="35" t="n">
        <f aca="false">'Tarifs Onsha-Sullab'!$O$5</f>
        <v>6.99642231901472</v>
      </c>
      <c r="H6" s="21" t="n">
        <f aca="false">IF((Paramètres!$C$5="Assujettie"),E6/(1+Paramètres!$C$6),E6)</f>
        <v>19.9166666666667</v>
      </c>
      <c r="I6" s="21" t="n">
        <f aca="false">E6*Paramètres!$C$11</f>
        <v>0.3585</v>
      </c>
      <c r="J6" s="21" t="n">
        <f aca="false">H6*Paramètres!$C$13</f>
        <v>0</v>
      </c>
      <c r="K6" s="30" t="n">
        <f aca="false">IF(G6=0,0,H6-G6-I6-J6)</f>
        <v>12.561744347652</v>
      </c>
      <c r="L6" s="36" t="n">
        <f aca="false">IF(H6=0,0,K6/H6)</f>
        <v>0.630715197371646</v>
      </c>
      <c r="M6" s="33" t="n">
        <f aca="false">IF(G6=0,0,E6/G6)</f>
        <v>3.41603163877703</v>
      </c>
      <c r="N6" s="30" t="n">
        <f aca="false">IF(G6=0,0,K6-Paramètres!$C$12-(Paramètres!$C$14+Paramètres!$C$22+Paramètres!$C$23)*IF((Paramètres!$C$5="Assujettie"),1/(1+Paramètres!$C$6),1)-Paramètres!$C$24+IF(E6&gt;=Paramètres!$C$16,0,Paramètres!$C$15*IF((Paramètres!$C$5="Assujettie"),1/(1+Paramètres!$C$6),1)*(1-Paramètres!$C$13)-Paramètres!$C$15*Paramètres!$C$11))</f>
        <v>12.1399110143186</v>
      </c>
      <c r="O6" s="21" t="n">
        <f aca="false">G6*Paramètres!$C$25</f>
        <v>20.9892669570442</v>
      </c>
      <c r="P6" s="6" t="str">
        <f aca="false">IF(G6=0,"Prix fournisseur manquant",IF(N6&lt;0,"Perte si vendu seul",IF(L6&lt;Paramètres!$C$26,"Marge faible","OK")))</f>
        <v>OK</v>
      </c>
    </row>
    <row r="7" customFormat="false" ht="30" hidden="false" customHeight="true" outlineLevel="0" collapsed="false">
      <c r="A7" s="6" t="s">
        <v>244</v>
      </c>
      <c r="B7" s="6" t="s">
        <v>251</v>
      </c>
      <c r="C7" s="6" t="s">
        <v>252</v>
      </c>
      <c r="D7" s="8" t="s">
        <v>253</v>
      </c>
      <c r="E7" s="14" t="n">
        <v>13.9</v>
      </c>
      <c r="F7" s="35" t="n">
        <f aca="false">'Tarifs Onsha-Sullab'!$N$7</f>
        <v>3.612</v>
      </c>
      <c r="G7" s="35" t="n">
        <f aca="false">'Tarifs Onsha-Sullab'!$O$7</f>
        <v>4.52076519074797</v>
      </c>
      <c r="H7" s="21" t="n">
        <f aca="false">IF((Paramètres!$C$5="Assujettie"),E7/(1+Paramètres!$C$6),E7)</f>
        <v>11.5833333333333</v>
      </c>
      <c r="I7" s="21" t="n">
        <f aca="false">E7*Paramètres!$C$11</f>
        <v>0.2085</v>
      </c>
      <c r="J7" s="21" t="n">
        <f aca="false">H7*Paramètres!$C$13</f>
        <v>0</v>
      </c>
      <c r="K7" s="30" t="n">
        <f aca="false">IF(G7=0,0,H7-G7-I7-J7)</f>
        <v>6.85406814258536</v>
      </c>
      <c r="L7" s="36" t="n">
        <f aca="false">IF(H7=0,0,K7/H7)</f>
        <v>0.591718113028952</v>
      </c>
      <c r="M7" s="33" t="n">
        <f aca="false">IF(G7=0,0,E7/G7)</f>
        <v>3.07470072288807</v>
      </c>
      <c r="N7" s="30" t="n">
        <f aca="false">IF(G7=0,0,K7-Paramètres!$C$12-(Paramètres!$C$14+Paramètres!$C$22+Paramètres!$C$23)*IF((Paramètres!$C$5="Assujettie"),1/(1+Paramètres!$C$6),1)-Paramètres!$C$24+IF(E7&gt;=Paramètres!$C$16,0,Paramètres!$C$15*IF((Paramètres!$C$5="Assujettie"),1/(1+Paramètres!$C$6),1)*(1-Paramètres!$C$13)-Paramètres!$C$15*Paramètres!$C$11))</f>
        <v>6.43223480925203</v>
      </c>
      <c r="O7" s="21" t="n">
        <f aca="false">G7*Paramètres!$C$25</f>
        <v>13.5622955722439</v>
      </c>
      <c r="P7" s="6" t="str">
        <f aca="false">IF(G7=0,"Prix fournisseur manquant",IF(N7&lt;0,"Perte si vendu seul",IF(L7&lt;Paramètres!$C$26,"Marge faible","OK")))</f>
        <v>OK</v>
      </c>
    </row>
    <row r="8" customFormat="false" ht="30" hidden="false" customHeight="true" outlineLevel="0" collapsed="false">
      <c r="A8" s="6" t="s">
        <v>244</v>
      </c>
      <c r="B8" s="6" t="s">
        <v>254</v>
      </c>
      <c r="C8" s="6" t="s">
        <v>255</v>
      </c>
      <c r="D8" s="8" t="s">
        <v>256</v>
      </c>
      <c r="E8" s="14" t="n">
        <v>9.9</v>
      </c>
      <c r="F8" s="35" t="n">
        <f aca="false">'Tarifs Onsha-Sullab'!$N$6</f>
        <v>3.182</v>
      </c>
      <c r="G8" s="35" t="n">
        <f aca="false">'Tarifs Onsha-Sullab'!$O$6</f>
        <v>3.98257885851607</v>
      </c>
      <c r="H8" s="21" t="n">
        <f aca="false">IF((Paramètres!$C$5="Assujettie"),E8/(1+Paramètres!$C$6),E8)</f>
        <v>8.25</v>
      </c>
      <c r="I8" s="21" t="n">
        <f aca="false">E8*Paramètres!$C$11</f>
        <v>0.1485</v>
      </c>
      <c r="J8" s="21" t="n">
        <f aca="false">H8*Paramètres!$C$13</f>
        <v>0</v>
      </c>
      <c r="K8" s="30" t="n">
        <f aca="false">IF(G8=0,0,H8-G8-I8-J8)</f>
        <v>4.11892114148393</v>
      </c>
      <c r="L8" s="36" t="n">
        <f aca="false">IF(H8=0,0,K8/H8)</f>
        <v>0.499263168664719</v>
      </c>
      <c r="M8" s="33" t="n">
        <f aca="false">IF(G8=0,0,E8/G8)</f>
        <v>2.48582648371934</v>
      </c>
      <c r="N8" s="30" t="n">
        <f aca="false">IF(G8=0,0,K8-Paramètres!$C$12-(Paramètres!$C$14+Paramètres!$C$22+Paramètres!$C$23)*IF((Paramètres!$C$5="Assujettie"),1/(1+Paramètres!$C$6),1)-Paramètres!$C$24+IF(E8&gt;=Paramètres!$C$16,0,Paramètres!$C$15*IF((Paramètres!$C$5="Assujettie"),1/(1+Paramètres!$C$6),1)*(1-Paramètres!$C$13)-Paramètres!$C$15*Paramètres!$C$11))</f>
        <v>3.6970878081506</v>
      </c>
      <c r="O8" s="21" t="n">
        <f aca="false">G8*Paramètres!$C$25</f>
        <v>11.9477365755482</v>
      </c>
      <c r="P8" s="6" t="str">
        <f aca="false">IF(G8=0,"Prix fournisseur manquant",IF(N8&lt;0,"Perte si vendu seul",IF(L8&lt;Paramètres!$C$26,"Marge faible","OK")))</f>
        <v>OK</v>
      </c>
    </row>
    <row r="9" customFormat="false" ht="30" hidden="false" customHeight="true" outlineLevel="0" collapsed="false">
      <c r="A9" s="6" t="s">
        <v>244</v>
      </c>
      <c r="B9" s="6" t="s">
        <v>257</v>
      </c>
      <c r="C9" s="6" t="s">
        <v>258</v>
      </c>
      <c r="D9" s="8" t="s">
        <v>259</v>
      </c>
      <c r="E9" s="14" t="n">
        <v>19.9</v>
      </c>
      <c r="F9" s="35" t="n">
        <f aca="false">'Tarifs Onsha-Sullab'!$N$22</f>
        <v>1.978</v>
      </c>
      <c r="G9" s="35" t="n">
        <f aca="false">'Tarifs Onsha-Sullab'!$O$22</f>
        <v>2.47565712826675</v>
      </c>
      <c r="H9" s="21" t="n">
        <f aca="false">IF((Paramètres!$C$5="Assujettie"),E9/(1+Paramètres!$C$6),E9)</f>
        <v>16.5833333333333</v>
      </c>
      <c r="I9" s="21" t="n">
        <f aca="false">E9*Paramètres!$C$11</f>
        <v>0.2985</v>
      </c>
      <c r="J9" s="21" t="n">
        <f aca="false">H9*Paramètres!$C$13</f>
        <v>0</v>
      </c>
      <c r="K9" s="30" t="n">
        <f aca="false">IF(G9=0,0,H9-G9-I9-J9)</f>
        <v>13.8091762050666</v>
      </c>
      <c r="L9" s="36" t="n">
        <f aca="false">IF(H9=0,0,K9/H9)</f>
        <v>0.832714143019091</v>
      </c>
      <c r="M9" s="33" t="n">
        <f aca="false">IF(G9=0,0,E9/G9)</f>
        <v>8.03826982855754</v>
      </c>
      <c r="N9" s="30" t="n">
        <f aca="false">IF(G9=0,0,K9-Paramètres!$C$12-(Paramètres!$C$14+Paramètres!$C$22+Paramètres!$C$23)*IF((Paramètres!$C$5="Assujettie"),1/(1+Paramètres!$C$6),1)-Paramètres!$C$24+IF(E9&gt;=Paramètres!$C$16,0,Paramètres!$C$15*IF((Paramètres!$C$5="Assujettie"),1/(1+Paramètres!$C$6),1)*(1-Paramètres!$C$13)-Paramètres!$C$15*Paramètres!$C$11))</f>
        <v>13.3873428717333</v>
      </c>
      <c r="O9" s="21" t="n">
        <f aca="false">G9*Paramètres!$C$25</f>
        <v>7.42697138480024</v>
      </c>
      <c r="P9" s="6" t="str">
        <f aca="false">IF(G9=0,"Prix fournisseur manquant",IF(N9&lt;0,"Perte si vendu seul",IF(L9&lt;Paramètres!$C$26,"Marge faible","OK")))</f>
        <v>OK</v>
      </c>
    </row>
    <row r="10" customFormat="false" ht="30" hidden="false" customHeight="true" outlineLevel="0" collapsed="false">
      <c r="A10" s="6" t="s">
        <v>244</v>
      </c>
      <c r="B10" s="6" t="s">
        <v>260</v>
      </c>
      <c r="C10" s="6" t="s">
        <v>261</v>
      </c>
      <c r="D10" s="8" t="s">
        <v>262</v>
      </c>
      <c r="E10" s="14" t="n">
        <v>9.9</v>
      </c>
      <c r="F10" s="35" t="n">
        <f aca="false">'Tarifs Onsha-Sullab'!$N$15</f>
        <v>1.978</v>
      </c>
      <c r="G10" s="35" t="n">
        <f aca="false">'Tarifs Onsha-Sullab'!$O$15</f>
        <v>2.47565712826675</v>
      </c>
      <c r="H10" s="21" t="n">
        <f aca="false">IF((Paramètres!$C$5="Assujettie"),E10/(1+Paramètres!$C$6),E10)</f>
        <v>8.25</v>
      </c>
      <c r="I10" s="21" t="n">
        <f aca="false">E10*Paramètres!$C$11</f>
        <v>0.1485</v>
      </c>
      <c r="J10" s="21" t="n">
        <f aca="false">H10*Paramètres!$C$13</f>
        <v>0</v>
      </c>
      <c r="K10" s="30" t="n">
        <f aca="false">IF(G10=0,0,H10-G10-I10-J10)</f>
        <v>5.62584287173325</v>
      </c>
      <c r="L10" s="36" t="n">
        <f aca="false">IF(H10=0,0,K10/H10)</f>
        <v>0.681920348088879</v>
      </c>
      <c r="M10" s="33" t="n">
        <f aca="false">IF(G10=0,0,E10/G10)</f>
        <v>3.99893825641808</v>
      </c>
      <c r="N10" s="30" t="n">
        <f aca="false">IF(G10=0,0,K10-Paramètres!$C$12-(Paramètres!$C$14+Paramètres!$C$22+Paramètres!$C$23)*IF((Paramètres!$C$5="Assujettie"),1/(1+Paramètres!$C$6),1)-Paramètres!$C$24+IF(E10&gt;=Paramètres!$C$16,0,Paramètres!$C$15*IF((Paramètres!$C$5="Assujettie"),1/(1+Paramètres!$C$6),1)*(1-Paramètres!$C$13)-Paramètres!$C$15*Paramètres!$C$11))</f>
        <v>5.20400953839992</v>
      </c>
      <c r="O10" s="21" t="n">
        <f aca="false">G10*Paramètres!$C$25</f>
        <v>7.42697138480024</v>
      </c>
      <c r="P10" s="6" t="str">
        <f aca="false">IF(G10=0,"Prix fournisseur manquant",IF(N10&lt;0,"Perte si vendu seul",IF(L10&lt;Paramètres!$C$26,"Marge faible","OK")))</f>
        <v>OK</v>
      </c>
    </row>
    <row r="11" customFormat="false" ht="30" hidden="false" customHeight="true" outlineLevel="0" collapsed="false">
      <c r="A11" s="6" t="s">
        <v>244</v>
      </c>
      <c r="B11" s="6" t="s">
        <v>263</v>
      </c>
      <c r="C11" s="6" t="s">
        <v>264</v>
      </c>
      <c r="D11" s="8" t="s">
        <v>265</v>
      </c>
      <c r="E11" s="14" t="n">
        <v>12.9</v>
      </c>
      <c r="F11" s="35" t="n">
        <f aca="false">'Tarifs Onsha-Sullab'!$N$18</f>
        <v>4.042</v>
      </c>
      <c r="G11" s="35" t="n">
        <f aca="false">'Tarifs Onsha-Sullab'!$O$18</f>
        <v>5.05895152297987</v>
      </c>
      <c r="H11" s="21" t="n">
        <f aca="false">IF((Paramètres!$C$5="Assujettie"),E11/(1+Paramètres!$C$6),E11)</f>
        <v>10.75</v>
      </c>
      <c r="I11" s="21" t="n">
        <f aca="false">E11*Paramètres!$C$11</f>
        <v>0.1935</v>
      </c>
      <c r="J11" s="21" t="n">
        <f aca="false">H11*Paramètres!$C$13</f>
        <v>0</v>
      </c>
      <c r="K11" s="30" t="n">
        <f aca="false">IF(G11=0,0,H11-G11-I11-J11)</f>
        <v>5.49754847702013</v>
      </c>
      <c r="L11" s="36" t="n">
        <f aca="false">IF(H11=0,0,K11/H11)</f>
        <v>0.511399858327454</v>
      </c>
      <c r="M11" s="33" t="n">
        <f aca="false">IF(G11=0,0,E11/G11)</f>
        <v>2.54993548394421</v>
      </c>
      <c r="N11" s="30" t="n">
        <f aca="false">IF(G11=0,0,K11-Paramètres!$C$12-(Paramètres!$C$14+Paramètres!$C$22+Paramètres!$C$23)*IF((Paramètres!$C$5="Assujettie"),1/(1+Paramètres!$C$6),1)-Paramètres!$C$24+IF(E11&gt;=Paramètres!$C$16,0,Paramètres!$C$15*IF((Paramètres!$C$5="Assujettie"),1/(1+Paramètres!$C$6),1)*(1-Paramètres!$C$13)-Paramètres!$C$15*Paramètres!$C$11))</f>
        <v>5.07571514368679</v>
      </c>
      <c r="O11" s="21" t="n">
        <f aca="false">G11*Paramètres!$C$25</f>
        <v>15.1768545689396</v>
      </c>
      <c r="P11" s="6" t="str">
        <f aca="false">IF(G11=0,"Prix fournisseur manquant",IF(N11&lt;0,"Perte si vendu seul",IF(L11&lt;Paramètres!$C$26,"Marge faible","OK")))</f>
        <v>OK</v>
      </c>
    </row>
    <row r="12" customFormat="false" ht="30" hidden="false" customHeight="true" outlineLevel="0" collapsed="false">
      <c r="A12" s="6" t="s">
        <v>244</v>
      </c>
      <c r="B12" s="6" t="s">
        <v>266</v>
      </c>
      <c r="C12" s="6" t="s">
        <v>267</v>
      </c>
      <c r="D12" s="37" t="s">
        <v>268</v>
      </c>
      <c r="E12" s="14" t="n">
        <v>12.9</v>
      </c>
      <c r="F12" s="35" t="n">
        <f aca="false">'Tarifs Onsha-Sullab'!$N$18</f>
        <v>4.042</v>
      </c>
      <c r="G12" s="35" t="n">
        <f aca="false">'Tarifs Onsha-Sullab'!$O$18</f>
        <v>5.05895152297987</v>
      </c>
      <c r="H12" s="21" t="n">
        <f aca="false">IF((Paramètres!$C$5="Assujettie"),E12/(1+Paramètres!$C$6),E12)</f>
        <v>10.75</v>
      </c>
      <c r="I12" s="21" t="n">
        <f aca="false">E12*Paramètres!$C$11</f>
        <v>0.1935</v>
      </c>
      <c r="J12" s="21" t="n">
        <f aca="false">H12*Paramètres!$C$13</f>
        <v>0</v>
      </c>
      <c r="K12" s="30" t="n">
        <f aca="false">IF(G12=0,0,H12-G12-I12-J12)</f>
        <v>5.49754847702013</v>
      </c>
      <c r="L12" s="36" t="n">
        <f aca="false">IF(H12=0,0,K12/H12)</f>
        <v>0.511399858327454</v>
      </c>
      <c r="M12" s="33" t="n">
        <f aca="false">IF(G12=0,0,E12/G12)</f>
        <v>2.54993548394421</v>
      </c>
      <c r="N12" s="30" t="n">
        <f aca="false">IF(G12=0,0,K12-Paramètres!$C$12-(Paramètres!$C$14+Paramètres!$C$22+Paramètres!$C$23)*IF((Paramètres!$C$5="Assujettie"),1/(1+Paramètres!$C$6),1)-Paramètres!$C$24+IF(E12&gt;=Paramètres!$C$16,0,Paramètres!$C$15*IF((Paramètres!$C$5="Assujettie"),1/(1+Paramètres!$C$6),1)*(1-Paramètres!$C$13)-Paramètres!$C$15*Paramètres!$C$11))</f>
        <v>5.07571514368679</v>
      </c>
      <c r="O12" s="21" t="n">
        <f aca="false">G12*Paramètres!$C$25</f>
        <v>15.1768545689396</v>
      </c>
      <c r="P12" s="6" t="str">
        <f aca="false">IF(G12=0,"Prix fournisseur manquant",IF(N12&lt;0,"Perte si vendu seul",IF(L12&lt;Paramètres!$C$26,"Marge faible","OK")))</f>
        <v>OK</v>
      </c>
    </row>
    <row r="13" customFormat="false" ht="30" hidden="false" customHeight="true" outlineLevel="0" collapsed="false">
      <c r="A13" s="6" t="s">
        <v>244</v>
      </c>
      <c r="B13" s="6" t="s">
        <v>269</v>
      </c>
      <c r="C13" s="6" t="s">
        <v>270</v>
      </c>
      <c r="D13" s="8" t="s">
        <v>271</v>
      </c>
      <c r="E13" s="14" t="n">
        <v>6.9</v>
      </c>
      <c r="F13" s="35" t="n">
        <f aca="false">'Tarifs Onsha-Sullab'!$N$11</f>
        <v>1.978</v>
      </c>
      <c r="G13" s="35" t="n">
        <f aca="false">'Tarifs Onsha-Sullab'!$O$11</f>
        <v>2.47565712826675</v>
      </c>
      <c r="H13" s="21" t="n">
        <f aca="false">IF((Paramètres!$C$5="Assujettie"),E13/(1+Paramètres!$C$6),E13)</f>
        <v>5.75</v>
      </c>
      <c r="I13" s="21" t="n">
        <f aca="false">E13*Paramètres!$C$11</f>
        <v>0.1035</v>
      </c>
      <c r="J13" s="21" t="n">
        <f aca="false">H13*Paramètres!$C$13</f>
        <v>0</v>
      </c>
      <c r="K13" s="30" t="n">
        <f aca="false">IF(G13=0,0,H13-G13-I13-J13)</f>
        <v>3.17084287173326</v>
      </c>
      <c r="L13" s="36" t="n">
        <f aca="false">IF(H13=0,0,K13/H13)</f>
        <v>0.551450934214479</v>
      </c>
      <c r="M13" s="33" t="n">
        <f aca="false">IF(G13=0,0,E13/G13)</f>
        <v>2.78713878477623</v>
      </c>
      <c r="N13" s="30" t="n">
        <f aca="false">IF(G13=0,0,K13-Paramètres!$C$12-(Paramètres!$C$14+Paramètres!$C$22+Paramètres!$C$23)*IF((Paramètres!$C$5="Assujettie"),1/(1+Paramètres!$C$6),1)-Paramètres!$C$24+IF(E13&gt;=Paramètres!$C$16,0,Paramètres!$C$15*IF((Paramètres!$C$5="Assujettie"),1/(1+Paramètres!$C$6),1)*(1-Paramètres!$C$13)-Paramètres!$C$15*Paramètres!$C$11))</f>
        <v>2.74900953839992</v>
      </c>
      <c r="O13" s="21" t="n">
        <f aca="false">G13*Paramètres!$C$25</f>
        <v>7.42697138480024</v>
      </c>
      <c r="P13" s="6" t="str">
        <f aca="false">IF(G13=0,"Prix fournisseur manquant",IF(N13&lt;0,"Perte si vendu seul",IF(L13&lt;Paramètres!$C$26,"Marge faible","OK")))</f>
        <v>OK</v>
      </c>
    </row>
    <row r="14" customFormat="false" ht="30" hidden="false" customHeight="true" outlineLevel="0" collapsed="false">
      <c r="A14" s="6" t="s">
        <v>244</v>
      </c>
      <c r="B14" s="6" t="s">
        <v>272</v>
      </c>
      <c r="C14" s="6" t="s">
        <v>273</v>
      </c>
      <c r="D14" s="8" t="s">
        <v>274</v>
      </c>
      <c r="E14" s="14" t="n">
        <v>29.9</v>
      </c>
      <c r="F14" s="35" t="n">
        <f aca="false">'Tarifs Onsha-Sullab'!$N$22+'Tarifs Onsha-Sullab'!$N$18</f>
        <v>6.02</v>
      </c>
      <c r="G14" s="35" t="n">
        <f aca="false">'Tarifs Onsha-Sullab'!$O$22+'Tarifs Onsha-Sullab'!$O$18</f>
        <v>7.53460865124662</v>
      </c>
      <c r="H14" s="21" t="n">
        <f aca="false">IF((Paramètres!$C$5="Assujettie"),E14/(1+Paramètres!$C$6),E14)</f>
        <v>24.9166666666667</v>
      </c>
      <c r="I14" s="21" t="n">
        <f aca="false">E14*Paramètres!$C$11</f>
        <v>0.4485</v>
      </c>
      <c r="J14" s="21" t="n">
        <f aca="false">H14*Paramètres!$C$13</f>
        <v>0</v>
      </c>
      <c r="K14" s="30" t="n">
        <f aca="false">IF(G14=0,0,H14-G14-I14-J14)</f>
        <v>16.9335580154201</v>
      </c>
      <c r="L14" s="36" t="n">
        <f aca="false">IF(H14=0,0,K14/H14)</f>
        <v>0.679607679548631</v>
      </c>
      <c r="M14" s="33" t="n">
        <f aca="false">IF(G14=0,0,E14/G14)</f>
        <v>3.9683547459433</v>
      </c>
      <c r="N14" s="30" t="n">
        <f aca="false">IF(G14=0,0,K14-Paramètres!$C$12-(Paramètres!$C$14+Paramètres!$C$22+Paramètres!$C$23)*IF((Paramètres!$C$5="Assujettie"),1/(1+Paramètres!$C$6),1)-Paramètres!$C$24+IF(E14&gt;=Paramètres!$C$16,0,Paramètres!$C$15*IF((Paramètres!$C$5="Assujettie"),1/(1+Paramètres!$C$6),1)*(1-Paramètres!$C$13)-Paramètres!$C$15*Paramètres!$C$11))</f>
        <v>16.5117246820867</v>
      </c>
      <c r="O14" s="21" t="n">
        <f aca="false">G14*Paramètres!$C$25</f>
        <v>22.6038259537399</v>
      </c>
      <c r="P14" s="6" t="str">
        <f aca="false">IF(G14=0,"Prix fournisseur manquant",IF(N14&lt;0,"Perte si vendu seul",IF(L14&lt;Paramètres!$C$26,"Marge faible","OK")))</f>
        <v>OK</v>
      </c>
    </row>
    <row r="15" customFormat="false" ht="30" hidden="false" customHeight="true" outlineLevel="0" collapsed="false">
      <c r="A15" s="6" t="s">
        <v>244</v>
      </c>
      <c r="B15" s="6" t="s">
        <v>275</v>
      </c>
      <c r="C15" s="6" t="s">
        <v>276</v>
      </c>
      <c r="D15" s="8" t="s">
        <v>277</v>
      </c>
      <c r="E15" s="14" t="n">
        <v>49.9</v>
      </c>
      <c r="F15" s="35" t="n">
        <f aca="false">'Tarifs Onsha-Sullab'!$N$16+'Tarifs Onsha-Sullab'!$N$22+'Tarifs Onsha-Sullab'!$N$18</f>
        <v>11.352</v>
      </c>
      <c r="G15" s="35" t="n">
        <f aca="false">'Tarifs Onsha-Sullab'!$O$16+'Tarifs Onsha-Sullab'!$O$22+'Tarifs Onsha-Sullab'!$O$18</f>
        <v>14.2081191709222</v>
      </c>
      <c r="H15" s="21" t="n">
        <f aca="false">IF((Paramètres!$C$5="Assujettie"),E15/(1+Paramètres!$C$6),E15)</f>
        <v>41.5833333333333</v>
      </c>
      <c r="I15" s="21" t="n">
        <f aca="false">E15*Paramètres!$C$11</f>
        <v>0.7485</v>
      </c>
      <c r="J15" s="21" t="n">
        <f aca="false">H15*Paramètres!$C$13</f>
        <v>0</v>
      </c>
      <c r="K15" s="30" t="n">
        <f aca="false">IF(G15=0,0,H15-G15-I15-J15)</f>
        <v>26.6267141624111</v>
      </c>
      <c r="L15" s="36" t="n">
        <f aca="false">IF(H15=0,0,K15/H15)</f>
        <v>0.640321783464797</v>
      </c>
      <c r="M15" s="33" t="n">
        <f aca="false">IF(G15=0,0,E15/G15)</f>
        <v>3.51207639798823</v>
      </c>
      <c r="N15" s="30" t="n">
        <f aca="false">IF(G15=0,0,K15-Paramètres!$C$12-(Paramètres!$C$14+Paramètres!$C$22+Paramètres!$C$23)*IF((Paramètres!$C$5="Assujettie"),1/(1+Paramètres!$C$6),1)-Paramètres!$C$24+IF(E15&gt;=Paramètres!$C$16,0,Paramètres!$C$15*IF((Paramètres!$C$5="Assujettie"),1/(1+Paramètres!$C$6),1)*(1-Paramètres!$C$13)-Paramètres!$C$15*Paramètres!$C$11))</f>
        <v>26.2048808290778</v>
      </c>
      <c r="O15" s="21" t="n">
        <f aca="false">G15*Paramètres!$C$25</f>
        <v>42.6243575127666</v>
      </c>
      <c r="P15" s="6" t="str">
        <f aca="false">IF(G15=0,"Prix fournisseur manquant",IF(N15&lt;0,"Perte si vendu seul",IF(L15&lt;Paramètres!$C$26,"Marge faible","OK")))</f>
        <v>OK</v>
      </c>
    </row>
    <row r="16" customFormat="false" ht="30" hidden="false" customHeight="true" outlineLevel="0" collapsed="false">
      <c r="A16" s="6" t="s">
        <v>244</v>
      </c>
      <c r="B16" s="6" t="s">
        <v>278</v>
      </c>
      <c r="C16" s="6" t="s">
        <v>279</v>
      </c>
      <c r="D16" s="8" t="s">
        <v>280</v>
      </c>
      <c r="E16" s="14" t="n">
        <v>59.9</v>
      </c>
      <c r="F16" s="35" t="n">
        <f aca="false">'Tarifs Onsha-Sullab'!$N$17</f>
        <v>17.2</v>
      </c>
      <c r="G16" s="35" t="n">
        <f aca="false">'Tarifs Onsha-Sullab'!$O$17</f>
        <v>21.5274532892761</v>
      </c>
      <c r="H16" s="21" t="n">
        <f aca="false">IF((Paramètres!$C$5="Assujettie"),E16/(1+Paramètres!$C$6),E16)</f>
        <v>49.9166666666667</v>
      </c>
      <c r="I16" s="21" t="n">
        <f aca="false">E16*Paramètres!$C$11</f>
        <v>0.8985</v>
      </c>
      <c r="J16" s="21" t="n">
        <f aca="false">H16*Paramètres!$C$13</f>
        <v>0</v>
      </c>
      <c r="K16" s="30" t="n">
        <f aca="false">IF(G16=0,0,H16-G16-I16-J16)</f>
        <v>27.4907133773906</v>
      </c>
      <c r="L16" s="36" t="n">
        <f aca="false">IF(H16=0,0,K16/H16)</f>
        <v>0.550732154471932</v>
      </c>
      <c r="M16" s="33" t="n">
        <f aca="false">IF(G16=0,0,E16/G16)</f>
        <v>2.78249355346827</v>
      </c>
      <c r="N16" s="30" t="n">
        <f aca="false">IF(G16=0,0,K16-Paramètres!$C$12-(Paramètres!$C$14+Paramètres!$C$22+Paramètres!$C$23)*IF((Paramètres!$C$5="Assujettie"),1/(1+Paramètres!$C$6),1)-Paramètres!$C$24+IF(E16&gt;=Paramètres!$C$16,0,Paramètres!$C$15*IF((Paramètres!$C$5="Assujettie"),1/(1+Paramètres!$C$6),1)*(1-Paramètres!$C$13)-Paramètres!$C$15*Paramètres!$C$11))</f>
        <v>27.0688800440573</v>
      </c>
      <c r="O16" s="21" t="n">
        <f aca="false">G16*Paramètres!$C$25</f>
        <v>64.5823598678282</v>
      </c>
      <c r="P16" s="6" t="str">
        <f aca="false">IF(G16=0,"Prix fournisseur manquant",IF(N16&lt;0,"Perte si vendu seul",IF(L16&lt;Paramètres!$C$26,"Marge faible","OK")))</f>
        <v>OK</v>
      </c>
    </row>
    <row r="17" customFormat="false" ht="30" hidden="false" customHeight="true" outlineLevel="0" collapsed="false">
      <c r="A17" s="6" t="s">
        <v>244</v>
      </c>
      <c r="B17" s="6" t="s">
        <v>281</v>
      </c>
      <c r="C17" s="6" t="s">
        <v>282</v>
      </c>
      <c r="D17" s="8" t="s">
        <v>283</v>
      </c>
      <c r="E17" s="14" t="n">
        <v>29.9</v>
      </c>
      <c r="F17" s="35" t="n">
        <f aca="false">'Tarifs Onsha-Sullab'!$N$10</f>
        <v>8.772</v>
      </c>
      <c r="G17" s="35" t="n">
        <f aca="false">'Tarifs Onsha-Sullab'!$O$10</f>
        <v>10.9790011775308</v>
      </c>
      <c r="H17" s="21" t="n">
        <f aca="false">IF((Paramètres!$C$5="Assujettie"),E17/(1+Paramètres!$C$6),E17)</f>
        <v>24.9166666666667</v>
      </c>
      <c r="I17" s="21" t="n">
        <f aca="false">E17*Paramètres!$C$11</f>
        <v>0.4485</v>
      </c>
      <c r="J17" s="21" t="n">
        <f aca="false">H17*Paramètres!$C$13</f>
        <v>0</v>
      </c>
      <c r="K17" s="30" t="n">
        <f aca="false">IF(G17=0,0,H17-G17-I17-J17)</f>
        <v>13.4891654891359</v>
      </c>
      <c r="L17" s="36" t="n">
        <f aca="false">IF(H17=0,0,K17/H17)</f>
        <v>0.541371190199433</v>
      </c>
      <c r="M17" s="33" t="n">
        <f aca="false">IF(G17=0,0,E17/G17)</f>
        <v>2.72338070800031</v>
      </c>
      <c r="N17" s="30" t="n">
        <f aca="false">IF(G17=0,0,K17-Paramètres!$C$12-(Paramètres!$C$14+Paramètres!$C$22+Paramètres!$C$23)*IF((Paramètres!$C$5="Assujettie"),1/(1+Paramètres!$C$6),1)-Paramètres!$C$24+IF(E17&gt;=Paramètres!$C$16,0,Paramètres!$C$15*IF((Paramètres!$C$5="Assujettie"),1/(1+Paramètres!$C$6),1)*(1-Paramètres!$C$13)-Paramètres!$C$15*Paramètres!$C$11))</f>
        <v>13.0673321558026</v>
      </c>
      <c r="O17" s="21" t="n">
        <f aca="false">G17*Paramètres!$C$25</f>
        <v>32.9370035325924</v>
      </c>
      <c r="P17" s="6" t="str">
        <f aca="false">IF(G17=0,"Prix fournisseur manquant",IF(N17&lt;0,"Perte si vendu seul",IF(L17&lt;Paramètres!$C$26,"Marge faible","OK")))</f>
        <v>OK</v>
      </c>
    </row>
    <row r="18" customFormat="false" ht="30" hidden="false" customHeight="true" outlineLevel="0" collapsed="false">
      <c r="A18" s="6" t="s">
        <v>244</v>
      </c>
      <c r="B18" s="6" t="s">
        <v>284</v>
      </c>
      <c r="C18" s="6" t="s">
        <v>285</v>
      </c>
      <c r="D18" s="8" t="s">
        <v>286</v>
      </c>
      <c r="E18" s="14" t="n">
        <v>79.9</v>
      </c>
      <c r="F18" s="35" t="n">
        <f aca="false">'Tarifs Onsha-Sullab'!$N$16+'Tarifs Onsha-Sullab'!$N$17</f>
        <v>22.532</v>
      </c>
      <c r="G18" s="35" t="n">
        <f aca="false">'Tarifs Onsha-Sullab'!$O$16+'Tarifs Onsha-Sullab'!$O$17</f>
        <v>28.2009638089516</v>
      </c>
      <c r="H18" s="21" t="n">
        <f aca="false">IF((Paramètres!$C$5="Assujettie"),E18/(1+Paramètres!$C$6),E18)</f>
        <v>66.5833333333333</v>
      </c>
      <c r="I18" s="21" t="n">
        <f aca="false">E18*Paramètres!$C$11</f>
        <v>1.1985</v>
      </c>
      <c r="J18" s="21" t="n">
        <f aca="false">H18*Paramètres!$C$13</f>
        <v>0</v>
      </c>
      <c r="K18" s="30" t="n">
        <f aca="false">IF(G18=0,0,H18-G18-I18-J18)</f>
        <v>37.1838695243817</v>
      </c>
      <c r="L18" s="36" t="n">
        <f aca="false">IF(H18=0,0,K18/H18)</f>
        <v>0.558456113006984</v>
      </c>
      <c r="M18" s="33" t="n">
        <f aca="false">IF(G18=0,0,E18/G18)</f>
        <v>2.83323650004607</v>
      </c>
      <c r="N18" s="30" t="n">
        <f aca="false">IF(G18=0,0,K18-Paramètres!$C$12-(Paramètres!$C$14+Paramètres!$C$22+Paramètres!$C$23)*IF((Paramètres!$C$5="Assujettie"),1/(1+Paramètres!$C$6),1)-Paramètres!$C$24+IF(E18&gt;=Paramètres!$C$16,0,Paramètres!$C$15*IF((Paramètres!$C$5="Assujettie"),1/(1+Paramètres!$C$6),1)*(1-Paramètres!$C$13)-Paramètres!$C$15*Paramètres!$C$11))</f>
        <v>36.7620361910484</v>
      </c>
      <c r="O18" s="21" t="n">
        <f aca="false">G18*Paramètres!$C$25</f>
        <v>84.6028914268549</v>
      </c>
      <c r="P18" s="6" t="str">
        <f aca="false">IF(G18=0,"Prix fournisseur manquant",IF(N18&lt;0,"Perte si vendu seul",IF(L18&lt;Paramètres!$C$26,"Marge faible","OK")))</f>
        <v>OK</v>
      </c>
    </row>
    <row r="19" customFormat="false" ht="30" hidden="false" customHeight="true" outlineLevel="0" collapsed="false">
      <c r="A19" s="6" t="s">
        <v>244</v>
      </c>
      <c r="B19" s="6" t="s">
        <v>287</v>
      </c>
      <c r="C19" s="6" t="s">
        <v>288</v>
      </c>
      <c r="D19" s="8" t="s">
        <v>289</v>
      </c>
      <c r="E19" s="14" t="n">
        <v>59.9</v>
      </c>
      <c r="F19" s="35" t="n">
        <f aca="false">'Tarifs Onsha-Sullab'!$N$5+'Tarifs Onsha-Sullab'!$N$7+'Tarifs Onsha-Sullab'!$N$10</f>
        <v>17.974</v>
      </c>
      <c r="G19" s="35" t="n">
        <f aca="false">'Tarifs Onsha-Sullab'!$O$5+'Tarifs Onsha-Sullab'!$O$7+'Tarifs Onsha-Sullab'!$O$10</f>
        <v>22.4961886872935</v>
      </c>
      <c r="H19" s="21" t="n">
        <f aca="false">IF((Paramètres!$C$5="Assujettie"),E19/(1+Paramètres!$C$6),E19)</f>
        <v>49.9166666666667</v>
      </c>
      <c r="I19" s="21" t="n">
        <f aca="false">E19*Paramètres!$C$11</f>
        <v>0.8985</v>
      </c>
      <c r="J19" s="21" t="n">
        <f aca="false">H19*Paramètres!$C$13</f>
        <v>0</v>
      </c>
      <c r="K19" s="30" t="n">
        <f aca="false">IF(G19=0,0,H19-G19-I19-J19)</f>
        <v>26.5219779793732</v>
      </c>
      <c r="L19" s="36" t="n">
        <f aca="false">IF(H19=0,0,K19/H19)</f>
        <v>0.531325101423169</v>
      </c>
      <c r="M19" s="33" t="n">
        <f aca="false">IF(G19=0,0,E19/G19)</f>
        <v>2.66267325690744</v>
      </c>
      <c r="N19" s="30" t="n">
        <f aca="false">IF(G19=0,0,K19-Paramètres!$C$12-(Paramètres!$C$14+Paramètres!$C$22+Paramètres!$C$23)*IF((Paramètres!$C$5="Assujettie"),1/(1+Paramètres!$C$6),1)-Paramètres!$C$24+IF(E19&gt;=Paramètres!$C$16,0,Paramètres!$C$15*IF((Paramètres!$C$5="Assujettie"),1/(1+Paramètres!$C$6),1)*(1-Paramètres!$C$13)-Paramètres!$C$15*Paramètres!$C$11))</f>
        <v>26.1001446460399</v>
      </c>
      <c r="O19" s="21" t="n">
        <f aca="false">G19*Paramètres!$C$25</f>
        <v>67.4885660618804</v>
      </c>
      <c r="P19" s="6" t="str">
        <f aca="false">IF(G19=0,"Prix fournisseur manquant",IF(N19&lt;0,"Perte si vendu seul",IF(L19&lt;Paramètres!$C$26,"Marge faible","OK")))</f>
        <v>OK</v>
      </c>
    </row>
    <row r="20" customFormat="false" ht="30" hidden="false" customHeight="true" outlineLevel="0" collapsed="false">
      <c r="A20" s="6" t="s">
        <v>290</v>
      </c>
      <c r="B20" s="6" t="s">
        <v>291</v>
      </c>
      <c r="C20" s="6" t="s">
        <v>292</v>
      </c>
      <c r="D20" s="8" t="s">
        <v>293</v>
      </c>
      <c r="E20" s="14" t="n">
        <v>25.9</v>
      </c>
      <c r="F20" s="35" t="n">
        <f aca="false">'Tarifs Onsha-Sullab'!$N$23</f>
        <v>4.644</v>
      </c>
      <c r="G20" s="35" t="n">
        <f aca="false">'Tarifs Onsha-Sullab'!$O$23</f>
        <v>5.81241238810454</v>
      </c>
      <c r="H20" s="21" t="n">
        <f aca="false">IF((Paramètres!$C$5="Assujettie"),E20/(1+Paramètres!$C$6),E20)</f>
        <v>21.5833333333333</v>
      </c>
      <c r="I20" s="21" t="n">
        <f aca="false">E20*Paramètres!$C$11</f>
        <v>0.3885</v>
      </c>
      <c r="J20" s="21" t="n">
        <f aca="false">H20*Paramètres!$C$13</f>
        <v>0</v>
      </c>
      <c r="K20" s="30" t="n">
        <f aca="false">IF(G20=0,0,H20-G20-I20-J20)</f>
        <v>15.3824209452288</v>
      </c>
      <c r="L20" s="36" t="n">
        <f aca="false">IF(H20=0,0,K20/H20)</f>
        <v>0.712699039933381</v>
      </c>
      <c r="M20" s="33" t="n">
        <f aca="false">IF(G20=0,0,E20/G20)</f>
        <v>4.455981143562</v>
      </c>
      <c r="N20" s="30" t="n">
        <f aca="false">IF(G20=0,0,K20-Paramètres!$C$12-(Paramètres!$C$14+Paramètres!$C$22+Paramètres!$C$23)*IF((Paramètres!$C$5="Assujettie"),1/(1+Paramètres!$C$6),1)-Paramètres!$C$24+IF(E20&gt;=Paramètres!$C$16,0,Paramètres!$C$15*IF((Paramètres!$C$5="Assujettie"),1/(1+Paramètres!$C$6),1)*(1-Paramètres!$C$13)-Paramètres!$C$15*Paramètres!$C$11))</f>
        <v>14.9605876118955</v>
      </c>
      <c r="O20" s="21" t="n">
        <f aca="false">G20*Paramètres!$C$25</f>
        <v>17.4372371643136</v>
      </c>
      <c r="P20" s="6" t="str">
        <f aca="false">IF(G20=0,"Prix fournisseur manquant",IF(N20&lt;0,"Perte si vendu seul",IF(L20&lt;Paramètres!$C$26,"Marge faible","OK")))</f>
        <v>OK</v>
      </c>
    </row>
    <row r="21" customFormat="false" ht="30" hidden="false" customHeight="true" outlineLevel="0" collapsed="false">
      <c r="A21" s="6" t="s">
        <v>290</v>
      </c>
      <c r="B21" s="6" t="s">
        <v>294</v>
      </c>
      <c r="C21" s="6" t="s">
        <v>295</v>
      </c>
      <c r="D21" s="8" t="s">
        <v>296</v>
      </c>
      <c r="E21" s="14" t="n">
        <v>11.9</v>
      </c>
      <c r="F21" s="35" t="n">
        <f aca="false">'Tarifs Onsha-Sullab'!$N$24</f>
        <v>1.978</v>
      </c>
      <c r="G21" s="35" t="n">
        <f aca="false">'Tarifs Onsha-Sullab'!$O$24</f>
        <v>2.47565712826675</v>
      </c>
      <c r="H21" s="21" t="n">
        <f aca="false">IF((Paramètres!$C$5="Assujettie"),E21/(1+Paramètres!$C$6),E21)</f>
        <v>9.91666666666667</v>
      </c>
      <c r="I21" s="21" t="n">
        <f aca="false">E21*Paramètres!$C$11</f>
        <v>0.1785</v>
      </c>
      <c r="J21" s="21" t="n">
        <f aca="false">H21*Paramètres!$C$13</f>
        <v>0</v>
      </c>
      <c r="K21" s="30" t="n">
        <f aca="false">IF(G21=0,0,H21-G21-I21-J21)</f>
        <v>7.26250953839992</v>
      </c>
      <c r="L21" s="36" t="n">
        <f aca="false">IF(H21=0,0,K21/H21)</f>
        <v>0.732353903031925</v>
      </c>
      <c r="M21" s="33" t="n">
        <f aca="false">IF(G21=0,0,E21/G21)</f>
        <v>4.80680457084597</v>
      </c>
      <c r="N21" s="30" t="n">
        <f aca="false">IF(G21=0,0,K21-Paramètres!$C$12-(Paramètres!$C$14+Paramètres!$C$22+Paramètres!$C$23)*IF((Paramètres!$C$5="Assujettie"),1/(1+Paramètres!$C$6),1)-Paramètres!$C$24+IF(E21&gt;=Paramètres!$C$16,0,Paramètres!$C$15*IF((Paramètres!$C$5="Assujettie"),1/(1+Paramètres!$C$6),1)*(1-Paramètres!$C$13)-Paramètres!$C$15*Paramètres!$C$11))</f>
        <v>6.84067620506659</v>
      </c>
      <c r="O21" s="21" t="n">
        <f aca="false">G21*Paramètres!$C$25</f>
        <v>7.42697138480024</v>
      </c>
      <c r="P21" s="6" t="str">
        <f aca="false">IF(G21=0,"Prix fournisseur manquant",IF(N21&lt;0,"Perte si vendu seul",IF(L21&lt;Paramètres!$C$26,"Marge faible","OK")))</f>
        <v>OK</v>
      </c>
    </row>
    <row r="22" customFormat="false" ht="30" hidden="false" customHeight="true" outlineLevel="0" collapsed="false">
      <c r="A22" s="6" t="s">
        <v>297</v>
      </c>
      <c r="B22" s="6" t="s">
        <v>298</v>
      </c>
      <c r="C22" s="6" t="s">
        <v>299</v>
      </c>
      <c r="D22" s="37" t="s">
        <v>300</v>
      </c>
      <c r="E22" s="14" t="n">
        <v>59.9</v>
      </c>
      <c r="F22" s="35" t="n">
        <f aca="false">'Tarifs Shift'!$K$5+1/6*'Tarifs Shift'!$K$8</f>
        <v>13.4016666666667</v>
      </c>
      <c r="G22" s="35" t="n">
        <f aca="false">'Tarifs Shift'!$L$5+1/6*'Tarifs Shift'!$L$8</f>
        <v>15.4817177242888</v>
      </c>
      <c r="H22" s="21" t="n">
        <f aca="false">IF((Paramètres!$C$5="Assujettie"),E22/(1+Paramètres!$C$6),E22)</f>
        <v>49.9166666666667</v>
      </c>
      <c r="I22" s="21" t="n">
        <f aca="false">E22*Paramètres!$C$11</f>
        <v>0.8985</v>
      </c>
      <c r="J22" s="21" t="n">
        <f aca="false">H22*Paramètres!$C$13</f>
        <v>0</v>
      </c>
      <c r="K22" s="30" t="n">
        <f aca="false">IF(G22=0,0,H22-G22-I22-J22)</f>
        <v>33.5364489423778</v>
      </c>
      <c r="L22" s="36" t="n">
        <f aca="false">IF(H22=0,0,K22/H22)</f>
        <v>0.671848726725432</v>
      </c>
      <c r="M22" s="33" t="n">
        <f aca="false">IF(G22=0,0,E22/G22)</f>
        <v>3.86907971497404</v>
      </c>
      <c r="N22" s="30" t="n">
        <f aca="false">IF(G22=0,0,K22-Paramètres!$C$12-(Paramètres!$C$14+Paramètres!$C$22+Paramètres!$C$23)*IF((Paramètres!$C$5="Assujettie"),1/(1+Paramètres!$C$6),1)-Paramètres!$C$24+IF(E22&gt;=Paramètres!$C$16,0,Paramètres!$C$15*IF((Paramètres!$C$5="Assujettie"),1/(1+Paramètres!$C$6),1)*(1-Paramètres!$C$13)-Paramètres!$C$15*Paramètres!$C$11))</f>
        <v>33.1146156090445</v>
      </c>
      <c r="O22" s="21" t="n">
        <f aca="false">G22*Paramètres!$C$25</f>
        <v>46.4451531728665</v>
      </c>
      <c r="P22" s="6" t="str">
        <f aca="false">IF(G22=0,"Prix fournisseur manquant",IF(N22&lt;0,"Perte si vendu seul",IF(L22&lt;Paramètres!$C$26,"Marge faible","OK")))</f>
        <v>OK</v>
      </c>
    </row>
    <row r="23" customFormat="false" ht="30" hidden="false" customHeight="true" outlineLevel="0" collapsed="false">
      <c r="A23" s="6" t="s">
        <v>297</v>
      </c>
      <c r="B23" s="6" t="s">
        <v>189</v>
      </c>
      <c r="C23" s="6" t="s">
        <v>301</v>
      </c>
      <c r="D23" s="37" t="s">
        <v>302</v>
      </c>
      <c r="E23" s="14" t="n">
        <v>109.9</v>
      </c>
      <c r="F23" s="35" t="n">
        <f aca="false">'Tarifs Shift'!$K$7</f>
        <v>30.1</v>
      </c>
      <c r="G23" s="35" t="n">
        <f aca="false">'Tarifs Shift'!$L$7</f>
        <v>34.771772428884</v>
      </c>
      <c r="H23" s="21" t="n">
        <f aca="false">IF((Paramètres!$C$5="Assujettie"),E23/(1+Paramètres!$C$6),E23)</f>
        <v>91.5833333333333</v>
      </c>
      <c r="I23" s="21" t="n">
        <f aca="false">E23*Paramètres!$C$11</f>
        <v>1.6485</v>
      </c>
      <c r="J23" s="21" t="n">
        <f aca="false">H23*Paramètres!$C$13</f>
        <v>0</v>
      </c>
      <c r="K23" s="30" t="n">
        <f aca="false">IF(G23=0,0,H23-G23-I23-J23)</f>
        <v>55.1630609044493</v>
      </c>
      <c r="L23" s="36" t="n">
        <f aca="false">IF(H23=0,0,K23/H23)</f>
        <v>0.602326415699174</v>
      </c>
      <c r="M23" s="33" t="n">
        <f aca="false">IF(G23=0,0,E23/G23)</f>
        <v>3.16060966477248</v>
      </c>
      <c r="N23" s="30" t="n">
        <f aca="false">IF(G23=0,0,K23-Paramètres!$C$12-(Paramètres!$C$14+Paramètres!$C$22+Paramètres!$C$23)*IF((Paramètres!$C$5="Assujettie"),1/(1+Paramètres!$C$6),1)-Paramètres!$C$24+IF(E23&gt;=Paramètres!$C$16,0,Paramètres!$C$15*IF((Paramètres!$C$5="Assujettie"),1/(1+Paramètres!$C$6),1)*(1-Paramètres!$C$13)-Paramètres!$C$15*Paramètres!$C$11))</f>
        <v>49.9130609044493</v>
      </c>
      <c r="O23" s="21" t="n">
        <f aca="false">G23*Paramètres!$C$25</f>
        <v>104.315317286652</v>
      </c>
      <c r="P23" s="6" t="str">
        <f aca="false">IF(G23=0,"Prix fournisseur manquant",IF(N23&lt;0,"Perte si vendu seul",IF(L23&lt;Paramètres!$C$26,"Marge faible","OK")))</f>
        <v>OK</v>
      </c>
    </row>
    <row r="24" customFormat="false" ht="30" hidden="false" customHeight="true" outlineLevel="0" collapsed="false">
      <c r="A24" s="6" t="s">
        <v>297</v>
      </c>
      <c r="B24" s="6" t="s">
        <v>303</v>
      </c>
      <c r="C24" s="6" t="s">
        <v>304</v>
      </c>
      <c r="D24" s="8" t="s">
        <v>305</v>
      </c>
      <c r="E24" s="14" t="n">
        <v>25.9</v>
      </c>
      <c r="F24" s="35" t="n">
        <f aca="false">'Tarifs Shift'!$K$9</f>
        <v>4.73</v>
      </c>
      <c r="G24" s="35" t="n">
        <f aca="false">'Tarifs Shift'!$L$9</f>
        <v>5.46413566739606</v>
      </c>
      <c r="H24" s="21" t="n">
        <f aca="false">IF((Paramètres!$C$5="Assujettie"),E24/(1+Paramètres!$C$6),E24)</f>
        <v>21.5833333333333</v>
      </c>
      <c r="I24" s="21" t="n">
        <f aca="false">E24*Paramètres!$C$11</f>
        <v>0.3885</v>
      </c>
      <c r="J24" s="21" t="n">
        <f aca="false">H24*Paramètres!$C$13</f>
        <v>0</v>
      </c>
      <c r="K24" s="30" t="n">
        <f aca="false">IF(G24=0,0,H24-G24-I24-J24)</f>
        <v>15.7306976659373</v>
      </c>
      <c r="L24" s="36" t="n">
        <f aca="false">IF(H24=0,0,K24/H24)</f>
        <v>0.728835413093619</v>
      </c>
      <c r="M24" s="33" t="n">
        <f aca="false">IF(G24=0,0,E24/G24)</f>
        <v>4.73999943935189</v>
      </c>
      <c r="N24" s="30" t="n">
        <f aca="false">IF(G24=0,0,K24-Paramètres!$C$12-(Paramètres!$C$14+Paramètres!$C$22+Paramètres!$C$23)*IF((Paramètres!$C$5="Assujettie"),1/(1+Paramètres!$C$6),1)-Paramètres!$C$24+IF(E24&gt;=Paramètres!$C$16,0,Paramètres!$C$15*IF((Paramètres!$C$5="Assujettie"),1/(1+Paramètres!$C$6),1)*(1-Paramètres!$C$13)-Paramètres!$C$15*Paramètres!$C$11))</f>
        <v>15.3088643326039</v>
      </c>
      <c r="O24" s="21" t="n">
        <f aca="false">G24*Paramètres!$C$25</f>
        <v>16.3924070021882</v>
      </c>
      <c r="P24" s="6" t="str">
        <f aca="false">IF(G24=0,"Prix fournisseur manquant",IF(N24&lt;0,"Perte si vendu seul",IF(L24&lt;Paramètres!$C$26,"Marge faible","OK")))</f>
        <v>OK</v>
      </c>
    </row>
    <row r="25" customFormat="false" ht="30" hidden="false" customHeight="true" outlineLevel="0" collapsed="false">
      <c r="A25" s="6" t="s">
        <v>297</v>
      </c>
      <c r="B25" s="6" t="s">
        <v>306</v>
      </c>
      <c r="C25" s="6" t="s">
        <v>307</v>
      </c>
      <c r="D25" s="8" t="s">
        <v>308</v>
      </c>
      <c r="E25" s="14" t="n">
        <v>32.9</v>
      </c>
      <c r="F25" s="35" t="n">
        <f aca="false">'Tarifs Shift'!$K$8</f>
        <v>5.59</v>
      </c>
      <c r="G25" s="35" t="n">
        <f aca="false">'Tarifs Shift'!$L$8</f>
        <v>6.45761487964989</v>
      </c>
      <c r="H25" s="21" t="n">
        <f aca="false">IF((Paramètres!$C$5="Assujettie"),E25/(1+Paramètres!$C$6),E25)</f>
        <v>27.4166666666667</v>
      </c>
      <c r="I25" s="21" t="n">
        <f aca="false">E25*Paramètres!$C$11</f>
        <v>0.4935</v>
      </c>
      <c r="J25" s="21" t="n">
        <f aca="false">H25*Paramètres!$C$13</f>
        <v>0</v>
      </c>
      <c r="K25" s="30" t="n">
        <f aca="false">IF(G25=0,0,H25-G25-I25-J25)</f>
        <v>20.4655517870168</v>
      </c>
      <c r="L25" s="36" t="n">
        <f aca="false">IF(H25=0,0,K25/H25)</f>
        <v>0.746463894967177</v>
      </c>
      <c r="M25" s="33" t="n">
        <f aca="false">IF(G25=0,0,E25/G25)</f>
        <v>5.09476031215162</v>
      </c>
      <c r="N25" s="30" t="n">
        <f aca="false">IF(G25=0,0,K25-Paramètres!$C$12-(Paramètres!$C$14+Paramètres!$C$22+Paramètres!$C$23)*IF((Paramètres!$C$5="Assujettie"),1/(1+Paramètres!$C$6),1)-Paramètres!$C$24+IF(E25&gt;=Paramètres!$C$16,0,Paramètres!$C$15*IF((Paramètres!$C$5="Assujettie"),1/(1+Paramètres!$C$6),1)*(1-Paramètres!$C$13)-Paramètres!$C$15*Paramètres!$C$11))</f>
        <v>20.0437184536834</v>
      </c>
      <c r="O25" s="21" t="n">
        <f aca="false">G25*Paramètres!$C$25</f>
        <v>19.3728446389497</v>
      </c>
      <c r="P25" s="6" t="str">
        <f aca="false">IF(G25=0,"Prix fournisseur manquant",IF(N25&lt;0,"Perte si vendu seul",IF(L25&lt;Paramètres!$C$26,"Marge faible","OK")))</f>
        <v>OK</v>
      </c>
    </row>
  </sheetData>
  <conditionalFormatting sqref="P5:P25">
    <cfRule type="expression" priority="2" aboveAverage="0" equalAverage="0" bottom="0" percent="0" rank="0" text="" dxfId="0">
      <formula>P5="OK"</formula>
    </cfRule>
    <cfRule type="expression" priority="3" aboveAverage="0" equalAverage="0" bottom="0" percent="0" rank="0" text="" dxfId="1">
      <formula>P5&lt;&gt;"OK"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0"/>
    <col collapsed="false" customWidth="true" hidden="false" outlineLevel="0" max="5" min="4" style="0" width="14"/>
    <col collapsed="false" customWidth="true" hidden="false" outlineLevel="0" max="6" min="6" style="0" width="50"/>
  </cols>
  <sheetData>
    <row r="2" customFormat="false" ht="17.35" hidden="false" customHeight="false" outlineLevel="0" collapsed="false">
      <c r="B2" s="4" t="s">
        <v>309</v>
      </c>
    </row>
    <row r="3" customFormat="false" ht="15" hidden="false" customHeight="false" outlineLevel="0" collapsed="false">
      <c r="B3" s="19" t="s">
        <v>310</v>
      </c>
    </row>
    <row r="5" customFormat="false" ht="15" hidden="false" customHeight="false" outlineLevel="0" collapsed="false">
      <c r="B5" s="5" t="s">
        <v>207</v>
      </c>
      <c r="C5" s="5" t="s">
        <v>208</v>
      </c>
      <c r="D5" s="5" t="s">
        <v>311</v>
      </c>
      <c r="E5" s="5" t="s">
        <v>312</v>
      </c>
    </row>
    <row r="6" customFormat="false" ht="15" hidden="false" customHeight="false" outlineLevel="0" collapsed="false">
      <c r="B6" s="38" t="s">
        <v>275</v>
      </c>
      <c r="C6" s="16" t="n">
        <v>1</v>
      </c>
      <c r="D6" s="35" t="n">
        <f aca="false">IF(B6="",0,C6*INDEX('Marges produits'!$E$5:$E$25,MATCH(B6,'Marges produits'!$B$5:$B$25,0)))</f>
        <v>49.9</v>
      </c>
      <c r="E6" s="35" t="n">
        <f aca="false">IF(B6="",0,C6*INDEX('Marges produits'!$G$5:$G$25,MATCH(B6,'Marges produits'!$B$5:$B$25,0)))</f>
        <v>14.2081191709222</v>
      </c>
    </row>
    <row r="7" customFormat="false" ht="15" hidden="false" customHeight="false" outlineLevel="0" collapsed="false">
      <c r="B7" s="38" t="s">
        <v>263</v>
      </c>
      <c r="C7" s="16" t="n">
        <v>2</v>
      </c>
      <c r="D7" s="35" t="n">
        <f aca="false">IF(B7="",0,C7*INDEX('Marges produits'!$E$5:$E$25,MATCH(B7,'Marges produits'!$B$5:$B$25,0)))</f>
        <v>25.8</v>
      </c>
      <c r="E7" s="35" t="n">
        <f aca="false">IF(B7="",0,C7*INDEX('Marges produits'!$G$5:$G$25,MATCH(B7,'Marges produits'!$B$5:$B$25,0)))</f>
        <v>10.1179030459597</v>
      </c>
    </row>
    <row r="8" customFormat="false" ht="15" hidden="false" customHeight="false" outlineLevel="0" collapsed="false">
      <c r="B8" s="38"/>
      <c r="C8" s="16"/>
      <c r="D8" s="35" t="n">
        <f aca="false">IF(B8="",0,C8*INDEX('Marges produits'!$E$5:$E$25,MATCH(B8,'Marges produits'!$B$5:$B$25,0)))</f>
        <v>0</v>
      </c>
      <c r="E8" s="35" t="n">
        <f aca="false">IF(B8="",0,C8*INDEX('Marges produits'!$G$5:$G$25,MATCH(B8,'Marges produits'!$B$5:$B$25,0)))</f>
        <v>0</v>
      </c>
    </row>
    <row r="9" customFormat="false" ht="15" hidden="false" customHeight="false" outlineLevel="0" collapsed="false">
      <c r="B9" s="38"/>
      <c r="C9" s="16"/>
      <c r="D9" s="35" t="n">
        <f aca="false">IF(B9="",0,C9*INDEX('Marges produits'!$E$5:$E$25,MATCH(B9,'Marges produits'!$B$5:$B$25,0)))</f>
        <v>0</v>
      </c>
      <c r="E9" s="35" t="n">
        <f aca="false">IF(B9="",0,C9*INDEX('Marges produits'!$G$5:$G$25,MATCH(B9,'Marges produits'!$B$5:$B$25,0)))</f>
        <v>0</v>
      </c>
    </row>
    <row r="10" customFormat="false" ht="15" hidden="false" customHeight="false" outlineLevel="0" collapsed="false">
      <c r="B10" s="38"/>
      <c r="C10" s="16"/>
      <c r="D10" s="35" t="n">
        <f aca="false">IF(B10="",0,C10*INDEX('Marges produits'!$E$5:$E$25,MATCH(B10,'Marges produits'!$B$5:$B$25,0)))</f>
        <v>0</v>
      </c>
      <c r="E10" s="35" t="n">
        <f aca="false">IF(B10="",0,C10*INDEX('Marges produits'!$G$5:$G$25,MATCH(B10,'Marges produits'!$B$5:$B$25,0)))</f>
        <v>0</v>
      </c>
    </row>
    <row r="11" customFormat="false" ht="15" hidden="false" customHeight="false" outlineLevel="0" collapsed="false">
      <c r="B11" s="38"/>
      <c r="C11" s="16"/>
      <c r="D11" s="35" t="n">
        <f aca="false">IF(B11="",0,C11*INDEX('Marges produits'!$E$5:$E$25,MATCH(B11,'Marges produits'!$B$5:$B$25,0)))</f>
        <v>0</v>
      </c>
      <c r="E11" s="35" t="n">
        <f aca="false">IF(B11="",0,C11*INDEX('Marges produits'!$G$5:$G$25,MATCH(B11,'Marges produits'!$B$5:$B$25,0)))</f>
        <v>0</v>
      </c>
    </row>
    <row r="13" customFormat="false" ht="15" hidden="false" customHeight="true" outlineLevel="0" collapsed="false">
      <c r="B13" s="6" t="s">
        <v>313</v>
      </c>
      <c r="D13" s="21" t="n">
        <f aca="false">SUM(D6:D11)</f>
        <v>75.7</v>
      </c>
      <c r="F13" s="32" t="s">
        <v>314</v>
      </c>
    </row>
    <row r="14" customFormat="false" ht="15" hidden="false" customHeight="false" outlineLevel="0" collapsed="false">
      <c r="B14" s="6" t="s">
        <v>45</v>
      </c>
      <c r="D14" s="21" t="n">
        <f aca="false">IF(OR(D13=0,D13&gt;=Paramètres!$C$16),0,Paramètres!$C$15)</f>
        <v>5.9</v>
      </c>
      <c r="F14" s="32"/>
    </row>
    <row r="15" customFormat="false" ht="15" hidden="false" customHeight="false" outlineLevel="0" collapsed="false">
      <c r="B15" s="6" t="s">
        <v>315</v>
      </c>
      <c r="D15" s="21" t="n">
        <f aca="false">IF((Paramètres!$C$5="Assujettie"),(D13+D14)/(1+Paramètres!$C$6),D13+D14)</f>
        <v>68</v>
      </c>
      <c r="F15" s="32"/>
    </row>
    <row r="16" customFormat="false" ht="15" hidden="false" customHeight="false" outlineLevel="0" collapsed="false">
      <c r="B16" s="6" t="s">
        <v>316</v>
      </c>
      <c r="D16" s="21" t="n">
        <f aca="false">-SUM(E6:E11)</f>
        <v>-24.3260222168819</v>
      </c>
      <c r="F16" s="32"/>
    </row>
    <row r="17" customFormat="false" ht="15" hidden="false" customHeight="false" outlineLevel="0" collapsed="false">
      <c r="B17" s="6" t="s">
        <v>317</v>
      </c>
      <c r="D17" s="21" t="n">
        <f aca="false">IF(D13=0,0,-((D13+D14)*Paramètres!$C$11+Paramètres!$C$12))</f>
        <v>-1.474</v>
      </c>
      <c r="F17" s="32"/>
    </row>
    <row r="18" customFormat="false" ht="15" hidden="false" customHeight="false" outlineLevel="0" collapsed="false">
      <c r="B18" s="6" t="s">
        <v>318</v>
      </c>
      <c r="D18" s="21" t="n">
        <f aca="false">-D15*Paramètres!$C$13</f>
        <v>-0</v>
      </c>
    </row>
    <row r="19" customFormat="false" ht="15" hidden="false" customHeight="false" outlineLevel="0" collapsed="false">
      <c r="B19" s="6" t="s">
        <v>319</v>
      </c>
      <c r="D19" s="21" t="n">
        <f aca="false">IF(D13=0,0,-Paramètres!$C$14*IF((Paramètres!$C$5="Assujettie"),1/(1+Paramètres!$C$6),1))</f>
        <v>-3.33333333333333</v>
      </c>
    </row>
    <row r="20" customFormat="false" ht="15" hidden="false" customHeight="false" outlineLevel="0" collapsed="false">
      <c r="B20" s="6" t="s">
        <v>320</v>
      </c>
      <c r="D20" s="21" t="n">
        <f aca="false">IF(D13=0,0,-(Paramètres!$C$22+Paramètres!$C$23)*IF((Paramètres!$C$5="Assujettie"),1/(1+Paramètres!$C$6),1))</f>
        <v>-1.66666666666667</v>
      </c>
    </row>
    <row r="21" customFormat="false" ht="15" hidden="false" customHeight="false" outlineLevel="0" collapsed="false">
      <c r="B21" s="6" t="s">
        <v>321</v>
      </c>
      <c r="D21" s="21" t="n">
        <f aca="false">IF(D13=0,0,-Paramètres!$C$24)</f>
        <v>-0</v>
      </c>
    </row>
    <row r="22" customFormat="false" ht="15" hidden="false" customHeight="false" outlineLevel="0" collapsed="false">
      <c r="B22" s="24" t="s">
        <v>322</v>
      </c>
      <c r="D22" s="30" t="n">
        <f aca="false">SUM(D15:D21)</f>
        <v>37.1999777831181</v>
      </c>
    </row>
    <row r="23" customFormat="false" ht="15" hidden="false" customHeight="false" outlineLevel="0" collapsed="false">
      <c r="B23" s="6" t="s">
        <v>323</v>
      </c>
      <c r="D23" s="36" t="n">
        <f aca="false">IF(D15=0,0,D22/D15)</f>
        <v>0.54705849681056</v>
      </c>
    </row>
  </sheetData>
  <mergeCells count="1">
    <mergeCell ref="F13:F17"/>
  </mergeCells>
  <dataValidations count="1">
    <dataValidation allowBlank="true" errorStyle="stop" operator="between" showDropDown="false" showErrorMessage="false" showInputMessage="false" sqref="B6:B11" type="list">
      <formula1>'Marges produits'!$B$5:$B$25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6"/>
    <col collapsed="false" customWidth="true" hidden="false" outlineLevel="0" max="4" min="4" style="0" width="60"/>
  </cols>
  <sheetData>
    <row r="2" customFormat="false" ht="17.35" hidden="false" customHeight="false" outlineLevel="0" collapsed="false">
      <c r="B2" s="4" t="s">
        <v>324</v>
      </c>
    </row>
    <row r="3" customFormat="false" ht="15" hidden="false" customHeight="false" outlineLevel="0" collapsed="false">
      <c r="B3" s="19" t="s">
        <v>325</v>
      </c>
    </row>
    <row r="5" customFormat="false" ht="15" hidden="false" customHeight="false" outlineLevel="0" collapsed="false">
      <c r="B5" s="5" t="s">
        <v>326</v>
      </c>
      <c r="C5" s="5" t="s">
        <v>210</v>
      </c>
      <c r="D5" s="5" t="s">
        <v>214</v>
      </c>
    </row>
    <row r="6" customFormat="false" ht="15" hidden="false" customHeight="false" outlineLevel="0" collapsed="false">
      <c r="B6" s="6" t="s">
        <v>327</v>
      </c>
      <c r="C6" s="13" t="n">
        <v>25</v>
      </c>
      <c r="D6" s="6" t="s">
        <v>328</v>
      </c>
    </row>
    <row r="7" customFormat="false" ht="15" hidden="false" customHeight="false" outlineLevel="0" collapsed="false">
      <c r="B7" s="6" t="s">
        <v>329</v>
      </c>
      <c r="C7" s="14" t="n">
        <v>0</v>
      </c>
      <c r="D7" s="6" t="s">
        <v>330</v>
      </c>
    </row>
    <row r="8" customFormat="false" ht="15" hidden="false" customHeight="false" outlineLevel="0" collapsed="false">
      <c r="B8" s="6" t="s">
        <v>331</v>
      </c>
      <c r="C8" s="13" t="n">
        <v>1.5</v>
      </c>
      <c r="D8" s="6" t="s">
        <v>332</v>
      </c>
    </row>
    <row r="9" customFormat="false" ht="15" hidden="false" customHeight="false" outlineLevel="0" collapsed="false">
      <c r="B9" s="6" t="s">
        <v>333</v>
      </c>
      <c r="C9" s="14" t="n">
        <v>0</v>
      </c>
      <c r="D9" s="6" t="s">
        <v>334</v>
      </c>
    </row>
    <row r="10" customFormat="false" ht="15" hidden="false" customHeight="false" outlineLevel="0" collapsed="false">
      <c r="B10" s="6" t="s">
        <v>335</v>
      </c>
      <c r="C10" s="14" t="n">
        <v>0</v>
      </c>
      <c r="D10" s="6"/>
    </row>
    <row r="11" customFormat="false" ht="15" hidden="false" customHeight="false" outlineLevel="0" collapsed="false">
      <c r="B11" s="6" t="s">
        <v>336</v>
      </c>
      <c r="C11" s="14" t="n">
        <v>0</v>
      </c>
      <c r="D11" s="6"/>
    </row>
    <row r="12" customFormat="false" ht="15" hidden="false" customHeight="false" outlineLevel="0" collapsed="false">
      <c r="B12" s="6" t="s">
        <v>337</v>
      </c>
      <c r="C12" s="14" t="n">
        <v>0</v>
      </c>
      <c r="D12" s="6" t="s">
        <v>338</v>
      </c>
    </row>
    <row r="13" customFormat="false" ht="15" hidden="false" customHeight="false" outlineLevel="0" collapsed="false">
      <c r="B13" s="6" t="s">
        <v>339</v>
      </c>
      <c r="C13" s="14" t="n">
        <v>0</v>
      </c>
      <c r="D13" s="6"/>
    </row>
    <row r="14" customFormat="false" ht="15" hidden="false" customHeight="false" outlineLevel="0" collapsed="false">
      <c r="B14" s="6" t="s">
        <v>340</v>
      </c>
      <c r="C14" s="14" t="n">
        <v>0</v>
      </c>
      <c r="D14" s="6"/>
    </row>
    <row r="15" customFormat="false" ht="15" hidden="false" customHeight="false" outlineLevel="0" collapsed="false">
      <c r="B15" s="24" t="s">
        <v>341</v>
      </c>
      <c r="C15" s="30" t="n">
        <f aca="false">SUM(C6:C14)*IF((Paramètres!$C$5="Assujettie"),1/(1+Paramètres!$C$6),1)</f>
        <v>22.0833333333333</v>
      </c>
    </row>
    <row r="17" customFormat="false" ht="15" hidden="false" customHeight="false" outlineLevel="0" collapsed="false">
      <c r="B17" s="24" t="s">
        <v>342</v>
      </c>
      <c r="C17" s="35" t="n">
        <f aca="false">'Simulateur commande'!D22</f>
        <v>37.1999777831181</v>
      </c>
      <c r="D17" s="6" t="s">
        <v>343</v>
      </c>
    </row>
    <row r="18" customFormat="false" ht="15" hidden="false" customHeight="false" outlineLevel="0" collapsed="false">
      <c r="B18" s="24" t="s">
        <v>344</v>
      </c>
      <c r="C18" s="39" t="n">
        <f aca="false">IF(C17&lt;=0,"Marge négative",ROUNDUP(C15/C17,0))</f>
        <v>1</v>
      </c>
    </row>
    <row r="19" customFormat="false" ht="15" hidden="false" customHeight="false" outlineLevel="0" collapsed="false">
      <c r="B19" s="6" t="s">
        <v>345</v>
      </c>
      <c r="C19" s="40" t="n">
        <f aca="false">IF(ISNUMBER(C18),ROUNDUP(C18/4.33,0),"-")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40"/>
    <col collapsed="false" customWidth="true" hidden="false" outlineLevel="0" max="4" min="4" style="0" width="13"/>
    <col collapsed="false" customWidth="true" hidden="false" outlineLevel="0" max="5" min="5" style="0" width="12"/>
    <col collapsed="false" customWidth="true" hidden="false" outlineLevel="0" max="6" min="6" style="0" width="10"/>
    <col collapsed="false" customWidth="true" hidden="false" outlineLevel="0" max="9" min="7" style="0" width="12"/>
    <col collapsed="false" customWidth="true" hidden="false" outlineLevel="0" max="10" min="10" style="0" width="10"/>
    <col collapsed="false" customWidth="true" hidden="false" outlineLevel="0" max="11" min="11" style="0" width="14"/>
    <col collapsed="false" customWidth="true" hidden="false" outlineLevel="0" max="12" min="12" style="0" width="15"/>
    <col collapsed="false" customWidth="true" hidden="false" outlineLevel="0" max="13" min="13" style="0" width="11"/>
  </cols>
  <sheetData>
    <row r="1" customFormat="false" ht="17.35" hidden="false" customHeight="false" outlineLevel="0" collapsed="false">
      <c r="A1" s="4" t="s">
        <v>346</v>
      </c>
    </row>
    <row r="2" customFormat="false" ht="15" hidden="false" customHeight="false" outlineLevel="0" collapsed="false">
      <c r="A2" s="19" t="s">
        <v>347</v>
      </c>
    </row>
    <row r="4" customFormat="false" ht="45" hidden="false" customHeight="true" outlineLevel="0" collapsed="false">
      <c r="A4" s="26" t="s">
        <v>348</v>
      </c>
      <c r="B4" s="26" t="s">
        <v>349</v>
      </c>
      <c r="C4" s="26" t="s">
        <v>350</v>
      </c>
      <c r="D4" s="26" t="s">
        <v>351</v>
      </c>
      <c r="E4" s="26" t="s">
        <v>352</v>
      </c>
      <c r="F4" s="26" t="s">
        <v>353</v>
      </c>
      <c r="G4" s="26" t="s">
        <v>354</v>
      </c>
      <c r="H4" s="26" t="s">
        <v>355</v>
      </c>
      <c r="I4" s="26" t="s">
        <v>238</v>
      </c>
      <c r="J4" s="26" t="s">
        <v>356</v>
      </c>
      <c r="K4" s="26" t="s">
        <v>357</v>
      </c>
      <c r="L4" s="26" t="s">
        <v>358</v>
      </c>
      <c r="M4" s="26" t="s">
        <v>359</v>
      </c>
    </row>
    <row r="5" customFormat="false" ht="31.5" hidden="false" customHeight="true" outlineLevel="0" collapsed="false">
      <c r="A5" s="24" t="s">
        <v>360</v>
      </c>
      <c r="B5" s="8" t="s">
        <v>361</v>
      </c>
      <c r="C5" s="8" t="s">
        <v>362</v>
      </c>
      <c r="D5" s="35" t="n">
        <f aca="false">2*'Marges produits'!$E$11</f>
        <v>25.8</v>
      </c>
      <c r="E5" s="13" t="n">
        <v>23.9</v>
      </c>
      <c r="F5" s="36" t="n">
        <f aca="false">IF(D5=0,0,1-E5/D5)</f>
        <v>0.0736434108527133</v>
      </c>
      <c r="G5" s="35" t="n">
        <f aca="false">2*'Marges produits'!$G$11</f>
        <v>10.1179030459597</v>
      </c>
      <c r="H5" s="21" t="n">
        <f aca="false">IF((Paramètres!$C$5="Assujettie"),E5/(1+Paramètres!$C$6),E5)</f>
        <v>19.9166666666667</v>
      </c>
      <c r="I5" s="30" t="n">
        <f aca="false">H5-G5-E5*Paramètres!$C$11-H5*Paramètres!$C$13</f>
        <v>9.44026362070692</v>
      </c>
      <c r="J5" s="36" t="n">
        <f aca="false">IF(H5=0,0,I5/H5)</f>
        <v>0.473988131583611</v>
      </c>
      <c r="K5" s="30" t="n">
        <f aca="false">I5-Paramètres!$C$12-(Paramètres!$C$14+Paramètres!$C$22+Paramètres!$C$23)*IF((Paramètres!$C$5="Assujettie"),1/(1+Paramètres!$C$6),1)-Paramètres!$C$24+IF(E5&gt;=Paramètres!$C$16,0,Paramètres!$C$15*IF((Paramètres!$C$5="Assujettie"),1/(1+Paramètres!$C$6),1)*(1-Paramètres!$C$13)-Paramètres!$C$15*Paramètres!$C$11)</f>
        <v>9.01843028737359</v>
      </c>
      <c r="L5" s="35" t="n">
        <f aca="false">'Marges produits'!$N$11</f>
        <v>5.07571514368679</v>
      </c>
      <c r="M5" s="6" t="str">
        <f aca="false">IF(E5&gt;=Paramètres!$C$16,"Oui","Non")</f>
        <v>Non</v>
      </c>
    </row>
    <row r="6" customFormat="false" ht="31.5" hidden="false" customHeight="true" outlineLevel="0" collapsed="false">
      <c r="A6" s="24" t="s">
        <v>363</v>
      </c>
      <c r="B6" s="8" t="s">
        <v>364</v>
      </c>
      <c r="C6" s="8" t="s">
        <v>365</v>
      </c>
      <c r="D6" s="35" t="n">
        <f aca="false">4*'Marges produits'!$E$11</f>
        <v>51.6</v>
      </c>
      <c r="E6" s="13" t="n">
        <v>44.9</v>
      </c>
      <c r="F6" s="36" t="n">
        <f aca="false">IF(D6=0,0,1-E6/D6)</f>
        <v>0.12984496124031</v>
      </c>
      <c r="G6" s="35" t="n">
        <f aca="false">4*'Marges produits'!$G$11</f>
        <v>20.2358060919195</v>
      </c>
      <c r="H6" s="21" t="n">
        <f aca="false">IF((Paramètres!$C$5="Assujettie"),E6/(1+Paramètres!$C$6),E6)</f>
        <v>37.4166666666667</v>
      </c>
      <c r="I6" s="30" t="n">
        <f aca="false">H6-G6-E6*Paramètres!$C$11-H6*Paramètres!$C$13</f>
        <v>16.5073605747472</v>
      </c>
      <c r="J6" s="36" t="n">
        <f aca="false">IF(H6=0,0,I6/H6)</f>
        <v>0.441176674603488</v>
      </c>
      <c r="K6" s="30" t="n">
        <f aca="false">I6-Paramètres!$C$12-(Paramètres!$C$14+Paramètres!$C$22+Paramètres!$C$23)*IF((Paramètres!$C$5="Assujettie"),1/(1+Paramètres!$C$6),1)-Paramètres!$C$24+IF(E6&gt;=Paramètres!$C$16,0,Paramètres!$C$15*IF((Paramètres!$C$5="Assujettie"),1/(1+Paramètres!$C$6),1)*(1-Paramètres!$C$13)-Paramètres!$C$15*Paramètres!$C$11)</f>
        <v>16.0855272414138</v>
      </c>
      <c r="L6" s="35" t="n">
        <f aca="false">'Marges produits'!$N$11</f>
        <v>5.07571514368679</v>
      </c>
      <c r="M6" s="6" t="str">
        <f aca="false">IF(E6&gt;=Paramètres!$C$16,"Oui","Non")</f>
        <v>Non</v>
      </c>
    </row>
    <row r="7" customFormat="false" ht="31.5" hidden="false" customHeight="true" outlineLevel="0" collapsed="false">
      <c r="A7" s="24" t="s">
        <v>366</v>
      </c>
      <c r="B7" s="8" t="s">
        <v>367</v>
      </c>
      <c r="C7" s="8" t="s">
        <v>368</v>
      </c>
      <c r="D7" s="35" t="n">
        <f aca="false">3*'Marges produits'!$E$13</f>
        <v>20.7</v>
      </c>
      <c r="E7" s="13" t="n">
        <v>17.9</v>
      </c>
      <c r="F7" s="36" t="n">
        <f aca="false">IF(D7=0,0,1-E7/D7)</f>
        <v>0.135265700483092</v>
      </c>
      <c r="G7" s="35" t="n">
        <f aca="false">3*'Marges produits'!$G$13</f>
        <v>7.42697138480024</v>
      </c>
      <c r="H7" s="21" t="n">
        <f aca="false">IF((Paramètres!$C$5="Assujettie"),E7/(1+Paramètres!$C$6),E7)</f>
        <v>14.9166666666667</v>
      </c>
      <c r="I7" s="30" t="n">
        <f aca="false">H7-G7-E7*Paramètres!$C$11-H7*Paramètres!$C$13</f>
        <v>7.22119528186643</v>
      </c>
      <c r="J7" s="36" t="n">
        <f aca="false">IF(H7=0,0,I7/H7)</f>
        <v>0.484102476996632</v>
      </c>
      <c r="K7" s="30" t="n">
        <f aca="false">I7-Paramètres!$C$12-(Paramètres!$C$14+Paramètres!$C$22+Paramètres!$C$23)*IF((Paramètres!$C$5="Assujettie"),1/(1+Paramètres!$C$6),1)-Paramètres!$C$24+IF(E7&gt;=Paramètres!$C$16,0,Paramètres!$C$15*IF((Paramètres!$C$5="Assujettie"),1/(1+Paramètres!$C$6),1)*(1-Paramètres!$C$13)-Paramètres!$C$15*Paramètres!$C$11)</f>
        <v>6.7993619485331</v>
      </c>
      <c r="L7" s="35" t="n">
        <f aca="false">'Marges produits'!$N$13</f>
        <v>2.74900953839992</v>
      </c>
      <c r="M7" s="6" t="str">
        <f aca="false">IF(E7&gt;=Paramètres!$C$16,"Oui","Non")</f>
        <v>Non</v>
      </c>
    </row>
    <row r="8" customFormat="false" ht="31.5" hidden="false" customHeight="true" outlineLevel="0" collapsed="false">
      <c r="A8" s="24" t="s">
        <v>369</v>
      </c>
      <c r="B8" s="8" t="s">
        <v>370</v>
      </c>
      <c r="C8" s="8" t="s">
        <v>371</v>
      </c>
      <c r="D8" s="35" t="n">
        <f aca="false">6*'Marges produits'!$E$13</f>
        <v>41.4</v>
      </c>
      <c r="E8" s="13" t="n">
        <v>34.9</v>
      </c>
      <c r="F8" s="36" t="n">
        <f aca="false">IF(D8=0,0,1-E8/D8)</f>
        <v>0.157004830917875</v>
      </c>
      <c r="G8" s="35" t="n">
        <f aca="false">6*'Marges produits'!$G$13</f>
        <v>14.8539427696005</v>
      </c>
      <c r="H8" s="21" t="n">
        <f aca="false">IF((Paramètres!$C$5="Assujettie"),E8/(1+Paramètres!$C$6),E8)</f>
        <v>29.0833333333333</v>
      </c>
      <c r="I8" s="30" t="n">
        <f aca="false">H8-G8-E8*Paramètres!$C$11-H8*Paramètres!$C$13</f>
        <v>13.7058905637329</v>
      </c>
      <c r="J8" s="36" t="n">
        <f aca="false">IF(H8=0,0,I8/H8)</f>
        <v>0.471262712793107</v>
      </c>
      <c r="K8" s="30" t="n">
        <f aca="false">I8-Paramètres!$C$12-(Paramètres!$C$14+Paramètres!$C$22+Paramètres!$C$23)*IF((Paramètres!$C$5="Assujettie"),1/(1+Paramètres!$C$6),1)-Paramètres!$C$24+IF(E8&gt;=Paramètres!$C$16,0,Paramètres!$C$15*IF((Paramètres!$C$5="Assujettie"),1/(1+Paramètres!$C$6),1)*(1-Paramètres!$C$13)-Paramètres!$C$15*Paramètres!$C$11)</f>
        <v>13.2840572303995</v>
      </c>
      <c r="L8" s="35" t="n">
        <f aca="false">'Marges produits'!$N$13</f>
        <v>2.74900953839992</v>
      </c>
      <c r="M8" s="6" t="str">
        <f aca="false">IF(E8&gt;=Paramètres!$C$16,"Oui","Non")</f>
        <v>Non</v>
      </c>
    </row>
    <row r="9" customFormat="false" ht="31.5" hidden="false" customHeight="true" outlineLevel="0" collapsed="false">
      <c r="A9" s="24" t="s">
        <v>372</v>
      </c>
      <c r="B9" s="8" t="s">
        <v>373</v>
      </c>
      <c r="C9" s="8" t="s">
        <v>374</v>
      </c>
      <c r="D9" s="35" t="n">
        <f aca="false">1*'Marges produits'!$E$6+1*'Marges produits'!$E$8</f>
        <v>33.8</v>
      </c>
      <c r="E9" s="13" t="n">
        <v>29.9</v>
      </c>
      <c r="F9" s="36" t="n">
        <f aca="false">IF(D9=0,0,1-E9/D9)</f>
        <v>0.115384615384615</v>
      </c>
      <c r="G9" s="35" t="n">
        <f aca="false">1*'Marges produits'!$G$6+1*'Marges produits'!$G$8</f>
        <v>10.9790011775308</v>
      </c>
      <c r="H9" s="21" t="n">
        <f aca="false">IF((Paramètres!$C$5="Assujettie"),E9/(1+Paramètres!$C$6),E9)</f>
        <v>24.9166666666667</v>
      </c>
      <c r="I9" s="30" t="n">
        <f aca="false">H9-G9-E9*Paramètres!$C$11-H9*Paramètres!$C$13</f>
        <v>13.4891654891359</v>
      </c>
      <c r="J9" s="36" t="n">
        <f aca="false">IF(H9=0,0,I9/H9)</f>
        <v>0.541371190199433</v>
      </c>
      <c r="K9" s="30" t="n">
        <f aca="false">I9-Paramètres!$C$12-(Paramètres!$C$14+Paramètres!$C$22+Paramètres!$C$23)*IF((Paramètres!$C$5="Assujettie"),1/(1+Paramètres!$C$6),1)-Paramètres!$C$24+IF(E9&gt;=Paramètres!$C$16,0,Paramètres!$C$15*IF((Paramètres!$C$5="Assujettie"),1/(1+Paramètres!$C$6),1)*(1-Paramètres!$C$13)-Paramètres!$C$15*Paramètres!$C$11)</f>
        <v>13.0673321558025</v>
      </c>
      <c r="L9" s="35" t="n">
        <f aca="false">'Marges produits'!$N$8</f>
        <v>3.6970878081506</v>
      </c>
      <c r="M9" s="6" t="str">
        <f aca="false">IF(E9&gt;=Paramètres!$C$16,"Oui","Non")</f>
        <v>Non</v>
      </c>
    </row>
    <row r="10" customFormat="false" ht="31.5" hidden="false" customHeight="true" outlineLevel="0" collapsed="false">
      <c r="A10" s="24" t="s">
        <v>375</v>
      </c>
      <c r="B10" s="8" t="s">
        <v>376</v>
      </c>
      <c r="C10" s="8" t="s">
        <v>377</v>
      </c>
      <c r="D10" s="35" t="n">
        <f aca="false">2*'Marges produits'!$E$7</f>
        <v>27.8</v>
      </c>
      <c r="E10" s="13" t="n">
        <v>24.9</v>
      </c>
      <c r="F10" s="36" t="n">
        <f aca="false">IF(D10=0,0,1-E10/D10)</f>
        <v>0.10431654676259</v>
      </c>
      <c r="G10" s="35" t="n">
        <f aca="false">2*'Marges produits'!$G$7</f>
        <v>9.04153038149594</v>
      </c>
      <c r="H10" s="21" t="n">
        <f aca="false">IF((Paramètres!$C$5="Assujettie"),E10/(1+Paramètres!$C$6),E10)</f>
        <v>20.75</v>
      </c>
      <c r="I10" s="30" t="n">
        <f aca="false">H10-G10-E10*Paramètres!$C$11-H10*Paramètres!$C$13</f>
        <v>11.3349696185041</v>
      </c>
      <c r="J10" s="36" t="n">
        <f aca="false">IF(H10=0,0,I10/H10)</f>
        <v>0.546263596072485</v>
      </c>
      <c r="K10" s="30" t="n">
        <f aca="false">I10-Paramètres!$C$12-(Paramètres!$C$14+Paramètres!$C$22+Paramètres!$C$23)*IF((Paramètres!$C$5="Assujettie"),1/(1+Paramètres!$C$6),1)-Paramètres!$C$24+IF(E10&gt;=Paramètres!$C$16,0,Paramètres!$C$15*IF((Paramètres!$C$5="Assujettie"),1/(1+Paramètres!$C$6),1)*(1-Paramètres!$C$13)-Paramètres!$C$15*Paramètres!$C$11)</f>
        <v>10.9131362851707</v>
      </c>
      <c r="L10" s="35" t="n">
        <f aca="false">'Marges produits'!$N$7</f>
        <v>6.43223480925203</v>
      </c>
      <c r="M10" s="6" t="str">
        <f aca="false">IF(E10&gt;=Paramètres!$C$16,"Oui","Non")</f>
        <v>Non</v>
      </c>
    </row>
    <row r="11" customFormat="false" ht="31.5" hidden="false" customHeight="true" outlineLevel="0" collapsed="false">
      <c r="A11" s="24" t="s">
        <v>378</v>
      </c>
      <c r="B11" s="8" t="s">
        <v>379</v>
      </c>
      <c r="C11" s="8" t="s">
        <v>380</v>
      </c>
      <c r="D11" s="35" t="n">
        <f aca="false">1*'Marges produits'!$E$16+2*'Marges produits'!$E$11</f>
        <v>85.7</v>
      </c>
      <c r="E11" s="13" t="n">
        <v>74.9</v>
      </c>
      <c r="F11" s="36" t="n">
        <f aca="false">IF(D11=0,0,1-E11/D11)</f>
        <v>0.126021003500583</v>
      </c>
      <c r="G11" s="35" t="n">
        <f aca="false">1*'Marges produits'!$G$16+2*'Marges produits'!$G$11</f>
        <v>31.6453563352358</v>
      </c>
      <c r="H11" s="21" t="n">
        <f aca="false">IF((Paramètres!$C$5="Assujettie"),E11/(1+Paramètres!$C$6),E11)</f>
        <v>62.4166666666667</v>
      </c>
      <c r="I11" s="30" t="n">
        <f aca="false">H11-G11-E11*Paramètres!$C$11-H11*Paramètres!$C$13</f>
        <v>29.6478103314309</v>
      </c>
      <c r="J11" s="36" t="n">
        <f aca="false">IF(H11=0,0,I11/H11)</f>
        <v>0.474998296364714</v>
      </c>
      <c r="K11" s="30" t="n">
        <f aca="false">I11-Paramètres!$C$12-(Paramètres!$C$14+Paramètres!$C$22+Paramètres!$C$23)*IF((Paramètres!$C$5="Assujettie"),1/(1+Paramètres!$C$6),1)-Paramètres!$C$24+IF(E11&gt;=Paramètres!$C$16,0,Paramètres!$C$15*IF((Paramètres!$C$5="Assujettie"),1/(1+Paramètres!$C$6),1)*(1-Paramètres!$C$13)-Paramètres!$C$15*Paramètres!$C$11)</f>
        <v>29.2259769980975</v>
      </c>
      <c r="L11" s="35" t="n">
        <f aca="false">'Marges produits'!$N$16</f>
        <v>27.0688800440573</v>
      </c>
      <c r="M11" s="6" t="str">
        <f aca="false">IF(E11&gt;=Paramètres!$C$16,"Oui","Non")</f>
        <v>Non</v>
      </c>
    </row>
    <row r="12" customFormat="false" ht="31.5" hidden="false" customHeight="true" outlineLevel="0" collapsed="false">
      <c r="A12" s="24" t="s">
        <v>381</v>
      </c>
      <c r="B12" s="8" t="s">
        <v>379</v>
      </c>
      <c r="C12" s="8" t="s">
        <v>382</v>
      </c>
      <c r="D12" s="35" t="n">
        <f aca="false">1*'Marges produits'!$E$17+3*'Marges produits'!$E$13</f>
        <v>50.6</v>
      </c>
      <c r="E12" s="13" t="n">
        <v>44.9</v>
      </c>
      <c r="F12" s="36" t="n">
        <f aca="false">IF(D12=0,0,1-E12/D12)</f>
        <v>0.112648221343874</v>
      </c>
      <c r="G12" s="35" t="n">
        <f aca="false">1*'Marges produits'!$G$17+3*'Marges produits'!$G$13</f>
        <v>18.405972562331</v>
      </c>
      <c r="H12" s="21" t="n">
        <f aca="false">IF((Paramètres!$C$5="Assujettie"),E12/(1+Paramètres!$C$6),E12)</f>
        <v>37.4166666666667</v>
      </c>
      <c r="I12" s="30" t="n">
        <f aca="false">H12-G12-E12*Paramètres!$C$11-H12*Paramètres!$C$13</f>
        <v>18.3371941043356</v>
      </c>
      <c r="J12" s="36" t="n">
        <f aca="false">IF(H12=0,0,I12/H12)</f>
        <v>0.490080911474449</v>
      </c>
      <c r="K12" s="30" t="n">
        <f aca="false">I12-Paramètres!$C$12-(Paramètres!$C$14+Paramètres!$C$22+Paramètres!$C$23)*IF((Paramètres!$C$5="Assujettie"),1/(1+Paramètres!$C$6),1)-Paramètres!$C$24+IF(E12&gt;=Paramètres!$C$16,0,Paramètres!$C$15*IF((Paramètres!$C$5="Assujettie"),1/(1+Paramètres!$C$6),1)*(1-Paramètres!$C$13)-Paramètres!$C$15*Paramètres!$C$11)</f>
        <v>17.9153607710023</v>
      </c>
      <c r="L12" s="35" t="n">
        <f aca="false">'Marges produits'!$N$17</f>
        <v>13.0673321558026</v>
      </c>
      <c r="M12" s="6" t="str">
        <f aca="false">IF(E12&gt;=Paramètres!$C$16,"Oui","Non")</f>
        <v>Non</v>
      </c>
    </row>
    <row r="14" customFormat="false" ht="30" hidden="false" customHeight="true" outlineLevel="0" collapsed="false">
      <c r="A14" s="32" t="s">
        <v>383</v>
      </c>
      <c r="B14" s="32"/>
      <c r="C14" s="32"/>
      <c r="D14" s="32"/>
      <c r="E14" s="32"/>
      <c r="F14" s="32"/>
      <c r="G14" s="32"/>
      <c r="H14" s="32"/>
      <c r="I14" s="32"/>
      <c r="J14" s="32"/>
      <c r="K14" s="32"/>
      <c r="L14" s="32"/>
      <c r="M14" s="32"/>
    </row>
    <row r="15" customFormat="false" ht="30" hidden="false" customHeight="true" outlineLevel="0" collapsed="false">
      <c r="A15" s="32" t="s">
        <v>384</v>
      </c>
      <c r="B15" s="32"/>
      <c r="C15" s="32"/>
      <c r="D15" s="32"/>
      <c r="E15" s="32"/>
      <c r="F15" s="32"/>
      <c r="G15" s="32"/>
      <c r="H15" s="32"/>
      <c r="I15" s="32"/>
      <c r="J15" s="32"/>
      <c r="K15" s="32"/>
      <c r="L15" s="32"/>
      <c r="M15" s="32"/>
    </row>
    <row r="16" customFormat="false" ht="30" hidden="false" customHeight="true" outlineLevel="0" collapsed="false">
      <c r="A16" s="32" t="s">
        <v>385</v>
      </c>
      <c r="B16" s="32"/>
      <c r="C16" s="32"/>
      <c r="D16" s="32"/>
      <c r="E16" s="32"/>
      <c r="F16" s="32"/>
      <c r="G16" s="32"/>
      <c r="H16" s="32"/>
      <c r="I16" s="32"/>
      <c r="J16" s="32"/>
      <c r="K16" s="32"/>
      <c r="L16" s="32"/>
      <c r="M16" s="32"/>
    </row>
  </sheetData>
  <mergeCells count="3">
    <mergeCell ref="A14:M14"/>
    <mergeCell ref="A15:M15"/>
    <mergeCell ref="A16:M16"/>
  </mergeCells>
  <conditionalFormatting sqref="K5:K12">
    <cfRule type="expression" priority="2" aboveAverage="0" equalAverage="0" bottom="0" percent="0" rank="0" text="" dxfId="1">
      <formula>K5&lt;0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2026-10-14T01:59:27Z</dcterms:created>
  <dc:creator>openpyxl</dc:creator>
  <dc:description/>
  <dc:language>en-US</dc:language>
  <cp:lastModifiedBy/>
  <dcterms:modified xsi:type="dcterms:W3CDTF">2026-10-14T01:59:27Z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